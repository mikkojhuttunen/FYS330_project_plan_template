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https://tuni-my.sharepoint.com/personal/mikko_huttunen_tuni_fi/Documents/Opetus/OPETETTAVAT_kurssit/FYS.330 Project work 2026-2027/Report_templates/FYS330_project_plan_template/"/>
    </mc:Choice>
  </mc:AlternateContent>
  <xr:revisionPtr revIDLastSave="1" documentId="13_ncr:1_{EE0973F3-44CA-FE4E-BF8B-D07EB9C60062}" xr6:coauthVersionLast="47" xr6:coauthVersionMax="47" xr10:uidLastSave="{4F404407-5494-FE4E-89AA-4F390141F9E6}"/>
  <bookViews>
    <workbookView xWindow="0" yWindow="660" windowWidth="28620" windowHeight="16080" tabRatio="500" xr2:uid="{00000000-000D-0000-FFFF-FFFF00000000}"/>
  </bookViews>
  <sheets>
    <sheet name="Instructions" sheetId="1" r:id="rId1"/>
    <sheet name="Weeks" sheetId="2" r:id="rId2"/>
    <sheet name="Tasks" sheetId="3" r:id="rId3"/>
    <sheet name="Gantt" sheetId="4" r:id="rId4"/>
  </sheets>
  <definedNames>
    <definedName name="_xlnm.Print_Titles" localSheetId="3">Gantt!$1:$3,Gantt!$A:$B</definedName>
    <definedName name="_xlnm.Print_Titles" localSheetId="2">Tasks!$1:$1</definedName>
    <definedName name="_xlnm.Print_Titles" localSheetId="1">Weeks!$1:$1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G15" i="4" l="1"/>
  <c r="AF15" i="4"/>
  <c r="AE15" i="4"/>
  <c r="U15" i="4" s="1"/>
  <c r="AD15" i="4"/>
  <c r="AC15" i="4"/>
  <c r="AB15" i="4"/>
  <c r="AA15" i="4"/>
  <c r="Z15" i="4"/>
  <c r="Y15" i="4"/>
  <c r="X15" i="4"/>
  <c r="W15" i="4"/>
  <c r="V15" i="4"/>
  <c r="S15" i="4"/>
  <c r="R15" i="4"/>
  <c r="Q15" i="4"/>
  <c r="P15" i="4"/>
  <c r="O15" i="4"/>
  <c r="N15" i="4"/>
  <c r="M15" i="4"/>
  <c r="L15" i="4"/>
  <c r="K15" i="4"/>
  <c r="J15" i="4"/>
  <c r="G15" i="4"/>
  <c r="F15" i="4"/>
  <c r="E15" i="4"/>
  <c r="D15" i="4"/>
  <c r="C15" i="4"/>
  <c r="B15" i="4"/>
  <c r="A15" i="4"/>
  <c r="AG14" i="4"/>
  <c r="AF14" i="4"/>
  <c r="B14" i="4"/>
  <c r="A14" i="4"/>
  <c r="K12" i="3"/>
  <c r="J12" i="3"/>
  <c r="I12" i="3"/>
  <c r="H12" i="3"/>
  <c r="AE14" i="4" s="1"/>
  <c r="AG16" i="4"/>
  <c r="B16" i="4"/>
  <c r="A16" i="4"/>
  <c r="H11" i="3"/>
  <c r="AE13" i="4" s="1"/>
  <c r="I11" i="3"/>
  <c r="AF13" i="4" s="1"/>
  <c r="J11" i="3"/>
  <c r="K11" i="3"/>
  <c r="K14" i="3"/>
  <c r="J14" i="3"/>
  <c r="I14" i="3"/>
  <c r="AF16" i="4" s="1"/>
  <c r="H14" i="3"/>
  <c r="AE16" i="4" s="1"/>
  <c r="AG13" i="4"/>
  <c r="B13" i="4"/>
  <c r="A13" i="4"/>
  <c r="AG8" i="4"/>
  <c r="B8" i="4"/>
  <c r="A8" i="4"/>
  <c r="K6" i="3"/>
  <c r="J6" i="3"/>
  <c r="I6" i="3"/>
  <c r="AF8" i="4" s="1"/>
  <c r="H6" i="3"/>
  <c r="AE8" i="4" s="1"/>
  <c r="AG6" i="4"/>
  <c r="B6" i="4"/>
  <c r="A6" i="4"/>
  <c r="K4" i="3"/>
  <c r="J4" i="3"/>
  <c r="I4" i="3"/>
  <c r="AF6" i="4" s="1"/>
  <c r="H4" i="3"/>
  <c r="AE6" i="4" s="1"/>
  <c r="H15" i="3"/>
  <c r="I15" i="3"/>
  <c r="J15" i="3"/>
  <c r="K15" i="3"/>
  <c r="AG12" i="4"/>
  <c r="B12" i="4"/>
  <c r="A12" i="4"/>
  <c r="AG11" i="4"/>
  <c r="B11" i="4"/>
  <c r="A11" i="4"/>
  <c r="AG10" i="4"/>
  <c r="B10" i="4"/>
  <c r="A10" i="4"/>
  <c r="AG9" i="4"/>
  <c r="B9" i="4"/>
  <c r="A9" i="4"/>
  <c r="AG7" i="4"/>
  <c r="B7" i="4"/>
  <c r="A7" i="4"/>
  <c r="AG5" i="4"/>
  <c r="B5" i="4"/>
  <c r="A5" i="4"/>
  <c r="AG4" i="4"/>
  <c r="B4" i="4"/>
  <c r="A4" i="4"/>
  <c r="AD3" i="4"/>
  <c r="AC3" i="4"/>
  <c r="AB3" i="4"/>
  <c r="AA3" i="4"/>
  <c r="Z3" i="4"/>
  <c r="Y3" i="4"/>
  <c r="X3" i="4"/>
  <c r="W3" i="4"/>
  <c r="V3" i="4"/>
  <c r="U3" i="4"/>
  <c r="T3" i="4"/>
  <c r="S3" i="4"/>
  <c r="R3" i="4"/>
  <c r="Q3" i="4"/>
  <c r="P3" i="4"/>
  <c r="O3" i="4"/>
  <c r="N3" i="4"/>
  <c r="M3" i="4"/>
  <c r="L3" i="4"/>
  <c r="K3" i="4"/>
  <c r="J3" i="4"/>
  <c r="I3" i="4"/>
  <c r="H3" i="4"/>
  <c r="G3" i="4"/>
  <c r="F3" i="4"/>
  <c r="E3" i="4"/>
  <c r="D3" i="4"/>
  <c r="C3" i="4"/>
  <c r="AD1" i="4"/>
  <c r="AC1" i="4"/>
  <c r="AB1" i="4"/>
  <c r="AA1" i="4"/>
  <c r="Z1" i="4"/>
  <c r="Y1" i="4"/>
  <c r="X1" i="4"/>
  <c r="W1" i="4"/>
  <c r="V1" i="4"/>
  <c r="U1" i="4"/>
  <c r="T1" i="4"/>
  <c r="S1" i="4"/>
  <c r="R1" i="4"/>
  <c r="Q1" i="4"/>
  <c r="P1" i="4"/>
  <c r="O1" i="4"/>
  <c r="N1" i="4"/>
  <c r="M1" i="4"/>
  <c r="L1" i="4"/>
  <c r="K1" i="4"/>
  <c r="J1" i="4"/>
  <c r="I1" i="4"/>
  <c r="H1" i="4"/>
  <c r="G1" i="4"/>
  <c r="F1" i="4"/>
  <c r="E1" i="4"/>
  <c r="D1" i="4"/>
  <c r="C1" i="4"/>
  <c r="K19" i="3"/>
  <c r="I19" i="3"/>
  <c r="H19" i="3"/>
  <c r="I18" i="3"/>
  <c r="H18" i="3"/>
  <c r="I17" i="3"/>
  <c r="H17" i="3"/>
  <c r="I16" i="3"/>
  <c r="H16" i="3"/>
  <c r="I13" i="3"/>
  <c r="H13" i="3"/>
  <c r="I10" i="3"/>
  <c r="AF12" i="4" s="1"/>
  <c r="H10" i="3"/>
  <c r="AE12" i="4" s="1"/>
  <c r="I9" i="3"/>
  <c r="AF11" i="4" s="1"/>
  <c r="H9" i="3"/>
  <c r="AE11" i="4" s="1"/>
  <c r="I8" i="3"/>
  <c r="AF10" i="4" s="1"/>
  <c r="H8" i="3"/>
  <c r="AE10" i="4" s="1"/>
  <c r="I7" i="3"/>
  <c r="AF9" i="4" s="1"/>
  <c r="H7" i="3"/>
  <c r="AE9" i="4" s="1"/>
  <c r="I5" i="3"/>
  <c r="AF7" i="4" s="1"/>
  <c r="H5" i="3"/>
  <c r="AE7" i="4" s="1"/>
  <c r="I3" i="3"/>
  <c r="AF5" i="4" s="1"/>
  <c r="H3" i="3"/>
  <c r="AE5" i="4" s="1"/>
  <c r="I2" i="3"/>
  <c r="AF4" i="4" s="1"/>
  <c r="H2" i="3"/>
  <c r="AE4" i="4" s="1"/>
  <c r="G29" i="2"/>
  <c r="AD2" i="4" s="1"/>
  <c r="G28" i="2"/>
  <c r="AC2" i="4" s="1"/>
  <c r="G27" i="2"/>
  <c r="K18" i="3" s="1"/>
  <c r="G26" i="2"/>
  <c r="AA2" i="4" s="1"/>
  <c r="G25" i="2"/>
  <c r="Z2" i="4" s="1"/>
  <c r="G24" i="2"/>
  <c r="Y2" i="4" s="1"/>
  <c r="G23" i="2"/>
  <c r="X2" i="4" s="1"/>
  <c r="G22" i="2"/>
  <c r="K17" i="3" s="1"/>
  <c r="G21" i="2"/>
  <c r="V2" i="4" s="1"/>
  <c r="G20" i="2"/>
  <c r="U2" i="4" s="1"/>
  <c r="G19" i="2"/>
  <c r="T2" i="4" s="1"/>
  <c r="G18" i="2"/>
  <c r="S2" i="4" s="1"/>
  <c r="G17" i="2"/>
  <c r="R2" i="4" s="1"/>
  <c r="G16" i="2"/>
  <c r="Q2" i="4" s="1"/>
  <c r="G15" i="2"/>
  <c r="P2" i="4" s="1"/>
  <c r="G14" i="2"/>
  <c r="O2" i="4" s="1"/>
  <c r="G13" i="2"/>
  <c r="N2" i="4" s="1"/>
  <c r="G12" i="2"/>
  <c r="M2" i="4" s="1"/>
  <c r="G11" i="2"/>
  <c r="L2" i="4" s="1"/>
  <c r="G10" i="2"/>
  <c r="K2" i="4" s="1"/>
  <c r="G9" i="2"/>
  <c r="J2" i="4" s="1"/>
  <c r="G8" i="2"/>
  <c r="K5" i="3" s="1"/>
  <c r="G7" i="2"/>
  <c r="H2" i="4" s="1"/>
  <c r="G6" i="2"/>
  <c r="G2" i="4" s="1"/>
  <c r="G5" i="2"/>
  <c r="F2" i="4" s="1"/>
  <c r="G4" i="2"/>
  <c r="E2" i="4" s="1"/>
  <c r="G3" i="2"/>
  <c r="D2" i="4" s="1"/>
  <c r="G2" i="2"/>
  <c r="C2" i="4" s="1"/>
  <c r="H15" i="4" l="1"/>
  <c r="T15" i="4"/>
  <c r="I15" i="4"/>
  <c r="U14" i="4"/>
  <c r="S14" i="4"/>
  <c r="F14" i="4"/>
  <c r="AC14" i="4"/>
  <c r="AA14" i="4"/>
  <c r="L14" i="4"/>
  <c r="Y14" i="4"/>
  <c r="J14" i="4"/>
  <c r="W14" i="4"/>
  <c r="V14" i="4"/>
  <c r="R14" i="4"/>
  <c r="E14" i="4"/>
  <c r="C14" i="4"/>
  <c r="O14" i="4"/>
  <c r="N14" i="4"/>
  <c r="Z14" i="4"/>
  <c r="K14" i="4"/>
  <c r="X14" i="4"/>
  <c r="Q14" i="4"/>
  <c r="D14" i="4"/>
  <c r="P14" i="4"/>
  <c r="AB14" i="4"/>
  <c r="M14" i="4"/>
  <c r="AD14" i="4"/>
  <c r="H14" i="4"/>
  <c r="G14" i="4"/>
  <c r="T14" i="4"/>
  <c r="I14" i="4"/>
  <c r="U16" i="4"/>
  <c r="Q16" i="4"/>
  <c r="O16" i="4"/>
  <c r="N16" i="4"/>
  <c r="AC16" i="4"/>
  <c r="E16" i="4"/>
  <c r="V16" i="4"/>
  <c r="P16" i="4"/>
  <c r="AD16" i="4"/>
  <c r="M16" i="4"/>
  <c r="D16" i="4"/>
  <c r="R16" i="4"/>
  <c r="AA16" i="4"/>
  <c r="L16" i="4"/>
  <c r="J16" i="4"/>
  <c r="F16" i="4"/>
  <c r="Z16" i="4"/>
  <c r="K16" i="4"/>
  <c r="Y16" i="4"/>
  <c r="X16" i="4"/>
  <c r="W16" i="4"/>
  <c r="C16" i="4"/>
  <c r="AB16" i="4"/>
  <c r="G16" i="4"/>
  <c r="S16" i="4"/>
  <c r="H16" i="4"/>
  <c r="T16" i="4"/>
  <c r="I16" i="4"/>
  <c r="U13" i="4"/>
  <c r="S13" i="4"/>
  <c r="E13" i="4"/>
  <c r="C13" i="4"/>
  <c r="R13" i="4"/>
  <c r="D13" i="4"/>
  <c r="Q13" i="4"/>
  <c r="AD13" i="4"/>
  <c r="P13" i="4"/>
  <c r="AC13" i="4"/>
  <c r="O13" i="4"/>
  <c r="AB13" i="4"/>
  <c r="N13" i="4"/>
  <c r="M13" i="4"/>
  <c r="AA13" i="4"/>
  <c r="Z13" i="4"/>
  <c r="L13" i="4"/>
  <c r="Y13" i="4"/>
  <c r="K13" i="4"/>
  <c r="X13" i="4"/>
  <c r="J13" i="4"/>
  <c r="W13" i="4"/>
  <c r="G13" i="4"/>
  <c r="V13" i="4"/>
  <c r="F13" i="4"/>
  <c r="H13" i="4"/>
  <c r="T13" i="4"/>
  <c r="I13" i="4"/>
  <c r="N8" i="4"/>
  <c r="AB8" i="4"/>
  <c r="V8" i="4"/>
  <c r="AD8" i="4"/>
  <c r="W8" i="4"/>
  <c r="F8" i="4"/>
  <c r="J8" i="4"/>
  <c r="X8" i="4"/>
  <c r="Y8" i="4"/>
  <c r="L8" i="4"/>
  <c r="Z8" i="4"/>
  <c r="G8" i="4"/>
  <c r="K8" i="4"/>
  <c r="M8" i="4"/>
  <c r="AA8" i="4"/>
  <c r="O8" i="4"/>
  <c r="AC8" i="4"/>
  <c r="U8" i="4"/>
  <c r="Q8" i="4"/>
  <c r="D8" i="4"/>
  <c r="R8" i="4"/>
  <c r="P8" i="4"/>
  <c r="C8" i="4"/>
  <c r="E8" i="4"/>
  <c r="S8" i="4"/>
  <c r="H8" i="4"/>
  <c r="T8" i="4"/>
  <c r="I8" i="4"/>
  <c r="W6" i="4"/>
  <c r="T6" i="4"/>
  <c r="R6" i="4"/>
  <c r="N6" i="4"/>
  <c r="M6" i="4"/>
  <c r="S6" i="4"/>
  <c r="H6" i="4"/>
  <c r="F6" i="4"/>
  <c r="AD6" i="4"/>
  <c r="Z6" i="4"/>
  <c r="K6" i="4"/>
  <c r="L6" i="4"/>
  <c r="X6" i="4"/>
  <c r="Y6" i="4"/>
  <c r="C6" i="4"/>
  <c r="O6" i="4"/>
  <c r="AA6" i="4"/>
  <c r="D6" i="4"/>
  <c r="P6" i="4"/>
  <c r="AB6" i="4"/>
  <c r="E6" i="4"/>
  <c r="Q6" i="4"/>
  <c r="AC6" i="4"/>
  <c r="G6" i="4"/>
  <c r="C4" i="4"/>
  <c r="V6" i="4"/>
  <c r="I6" i="4"/>
  <c r="U6" i="4"/>
  <c r="J6" i="4"/>
  <c r="AD9" i="4"/>
  <c r="R9" i="4"/>
  <c r="F9" i="4"/>
  <c r="AB9" i="4"/>
  <c r="P9" i="4"/>
  <c r="D9" i="4"/>
  <c r="Z9" i="4"/>
  <c r="N9" i="4"/>
  <c r="Y9" i="4"/>
  <c r="M9" i="4"/>
  <c r="X9" i="4"/>
  <c r="L9" i="4"/>
  <c r="X5" i="4"/>
  <c r="L5" i="4"/>
  <c r="T5" i="4"/>
  <c r="H5" i="4"/>
  <c r="S5" i="4"/>
  <c r="G5" i="4"/>
  <c r="AD5" i="4"/>
  <c r="R5" i="4"/>
  <c r="F5" i="4"/>
  <c r="AC5" i="4"/>
  <c r="AB5" i="4"/>
  <c r="P5" i="4"/>
  <c r="D5" i="4"/>
  <c r="S10" i="4"/>
  <c r="G10" i="4"/>
  <c r="AC10" i="4"/>
  <c r="Q10" i="4"/>
  <c r="E10" i="4"/>
  <c r="AB10" i="4"/>
  <c r="P10" i="4"/>
  <c r="D10" i="4"/>
  <c r="AA10" i="4"/>
  <c r="O10" i="4"/>
  <c r="C10" i="4"/>
  <c r="X11" i="4"/>
  <c r="L11" i="4"/>
  <c r="T11" i="4"/>
  <c r="H11" i="4"/>
  <c r="S11" i="4"/>
  <c r="G11" i="4"/>
  <c r="AD11" i="4"/>
  <c r="R11" i="4"/>
  <c r="F11" i="4"/>
  <c r="AB11" i="4"/>
  <c r="P11" i="4"/>
  <c r="D11" i="4"/>
  <c r="S4" i="4"/>
  <c r="G4" i="4"/>
  <c r="AD4" i="4"/>
  <c r="R4" i="4"/>
  <c r="F4" i="4"/>
  <c r="AC4" i="4"/>
  <c r="Q4" i="4"/>
  <c r="E4" i="4"/>
  <c r="AB4" i="4"/>
  <c r="P4" i="4"/>
  <c r="D4" i="4"/>
  <c r="AA4" i="4"/>
  <c r="O4" i="4"/>
  <c r="Z4" i="4"/>
  <c r="N4" i="4"/>
  <c r="J4" i="4"/>
  <c r="V4" i="4"/>
  <c r="M5" i="4"/>
  <c r="Y5" i="4"/>
  <c r="D7" i="4"/>
  <c r="P7" i="4"/>
  <c r="AB7" i="4"/>
  <c r="G9" i="4"/>
  <c r="S9" i="4"/>
  <c r="J10" i="4"/>
  <c r="V10" i="4"/>
  <c r="M11" i="4"/>
  <c r="Y11" i="4"/>
  <c r="D12" i="4"/>
  <c r="P12" i="4"/>
  <c r="AB12" i="4"/>
  <c r="J2" i="3"/>
  <c r="J7" i="3"/>
  <c r="J10" i="3"/>
  <c r="J16" i="3"/>
  <c r="J19" i="3"/>
  <c r="I2" i="4"/>
  <c r="I7" i="4" s="1"/>
  <c r="K4" i="4"/>
  <c r="W4" i="4"/>
  <c r="N5" i="4"/>
  <c r="Z5" i="4"/>
  <c r="E7" i="4"/>
  <c r="Q7" i="4"/>
  <c r="AC7" i="4"/>
  <c r="H9" i="4"/>
  <c r="T9" i="4"/>
  <c r="K10" i="4"/>
  <c r="W10" i="4"/>
  <c r="N11" i="4"/>
  <c r="Z11" i="4"/>
  <c r="E12" i="4"/>
  <c r="Q12" i="4"/>
  <c r="AC12" i="4"/>
  <c r="K2" i="3"/>
  <c r="K7" i="3"/>
  <c r="K10" i="3"/>
  <c r="K16" i="3"/>
  <c r="L4" i="4"/>
  <c r="X4" i="4"/>
  <c r="C5" i="4"/>
  <c r="O5" i="4"/>
  <c r="AA5" i="4"/>
  <c r="F7" i="4"/>
  <c r="R7" i="4"/>
  <c r="AD7" i="4"/>
  <c r="I9" i="4"/>
  <c r="U9" i="4"/>
  <c r="L10" i="4"/>
  <c r="X10" i="4"/>
  <c r="C11" i="4"/>
  <c r="O11" i="4"/>
  <c r="AA11" i="4"/>
  <c r="F12" i="4"/>
  <c r="R12" i="4"/>
  <c r="AD12" i="4"/>
  <c r="W2" i="4"/>
  <c r="W12" i="4" s="1"/>
  <c r="M4" i="4"/>
  <c r="Y4" i="4"/>
  <c r="G7" i="4"/>
  <c r="S7" i="4"/>
  <c r="J9" i="4"/>
  <c r="V9" i="4"/>
  <c r="M10" i="4"/>
  <c r="Y10" i="4"/>
  <c r="G12" i="4"/>
  <c r="S12" i="4"/>
  <c r="E5" i="4"/>
  <c r="Q5" i="4"/>
  <c r="H7" i="4"/>
  <c r="T7" i="4"/>
  <c r="K9" i="4"/>
  <c r="W9" i="4"/>
  <c r="N10" i="4"/>
  <c r="Z10" i="4"/>
  <c r="E11" i="4"/>
  <c r="Q11" i="4"/>
  <c r="AC11" i="4"/>
  <c r="H12" i="4"/>
  <c r="T12" i="4"/>
  <c r="J3" i="3"/>
  <c r="J8" i="3"/>
  <c r="J13" i="3"/>
  <c r="J17" i="3"/>
  <c r="U7" i="4"/>
  <c r="I12" i="4"/>
  <c r="U12" i="4"/>
  <c r="K3" i="3"/>
  <c r="K8" i="3"/>
  <c r="K13" i="3"/>
  <c r="J7" i="4"/>
  <c r="V7" i="4"/>
  <c r="J12" i="4"/>
  <c r="V12" i="4"/>
  <c r="K7" i="4"/>
  <c r="W7" i="4"/>
  <c r="K12" i="4"/>
  <c r="AB2" i="4"/>
  <c r="I5" i="4"/>
  <c r="U5" i="4"/>
  <c r="L7" i="4"/>
  <c r="X7" i="4"/>
  <c r="C9" i="4"/>
  <c r="O9" i="4"/>
  <c r="AA9" i="4"/>
  <c r="F10" i="4"/>
  <c r="R10" i="4"/>
  <c r="AD10" i="4"/>
  <c r="I11" i="4"/>
  <c r="U11" i="4"/>
  <c r="L12" i="4"/>
  <c r="X12" i="4"/>
  <c r="J5" i="3"/>
  <c r="J9" i="3"/>
  <c r="J18" i="3"/>
  <c r="J5" i="4"/>
  <c r="V5" i="4"/>
  <c r="M7" i="4"/>
  <c r="Y7" i="4"/>
  <c r="J11" i="4"/>
  <c r="V11" i="4"/>
  <c r="M12" i="4"/>
  <c r="Y12" i="4"/>
  <c r="K9" i="3"/>
  <c r="H4" i="4"/>
  <c r="T4" i="4"/>
  <c r="K5" i="4"/>
  <c r="W5" i="4"/>
  <c r="N7" i="4"/>
  <c r="Z7" i="4"/>
  <c r="E9" i="4"/>
  <c r="Q9" i="4"/>
  <c r="AC9" i="4"/>
  <c r="H10" i="4"/>
  <c r="T10" i="4"/>
  <c r="K11" i="4"/>
  <c r="W11" i="4"/>
  <c r="N12" i="4"/>
  <c r="Z12" i="4"/>
  <c r="I4" i="4"/>
  <c r="U4" i="4"/>
  <c r="C7" i="4"/>
  <c r="O7" i="4"/>
  <c r="AA7" i="4"/>
  <c r="I10" i="4"/>
  <c r="U10" i="4"/>
  <c r="C12" i="4"/>
  <c r="O12" i="4"/>
  <c r="AA12" i="4"/>
</calcChain>
</file>

<file path=xl/sharedStrings.xml><?xml version="1.0" encoding="utf-8"?>
<sst xmlns="http://schemas.openxmlformats.org/spreadsheetml/2006/main" count="308" uniqueCount="175">
  <si>
    <t>FYS.330 Project Work — Gantt chart workbook</t>
  </si>
  <si>
    <t>How the three sheets fit together</t>
  </si>
  <si>
    <t>• Weeks — the calendar spine for the whole course (week 43/2026 to week 18/2027). Each row is one real calendar week: its dates, which phase it belongs to (Planning / Implementation / Reporting), and whether it's a break. The Project Week number is computed automatically — it just counts the non-break rows in order.</t>
  </si>
  <si>
    <t>• Tasks — the master task/deliverable list (mirrors Table 2.1 in the LaTeX document). Each row has a Start and End given as a Calendar Week (matching the 'Calendar Week' column on the Weeks sheet) — this is what you edit. The Project Week columns and the date columns to their right are computed automatically from the Weeks sheet.</t>
  </si>
  <si>
    <t>• Gantt — an automatic visual preview, built entirely from formulas reading the two sheets above. You don't edit this sheet directly — change Tasks or Weeks and this sheet updates itself.</t>
  </si>
  <si>
    <t>What to edit</t>
  </si>
  <si>
    <t>• Blue text = a cell you're meant to edit.</t>
  </si>
  <si>
    <t>• Black text = a formula — leave it alone, it recalculates on its own.</t>
  </si>
  <si>
    <t>• To move a task: change its Start/End Calendar Week on the Tasks sheet.</t>
  </si>
  <si>
    <t>• To add a task or deliverable: add a new row on the Tasks sheet, following the same columns and using a Calendar Week that already exists on the Weeks sheet; the Gantt sheet picks it up automatically (extend its row range if you add rows beyond D5).</t>
  </si>
  <si>
    <t>• To move a break, or change which weeks belong to which phase: edit the Phase / Is Break / Break Label columns on the Weeks sheet. Project Week numbers renumber automatically.</t>
  </si>
  <si>
    <t>This workbook mirrors the example schedule already in the LaTeX template (main.tex / Chapters/ChapII_Implementation.tex) as of the last edit.</t>
  </si>
  <si>
    <t>Calendar Week</t>
  </si>
  <si>
    <t>Week Start</t>
  </si>
  <si>
    <t>Week End</t>
  </si>
  <si>
    <t>Phase</t>
  </si>
  <si>
    <t>Is Break (Y/N)</t>
  </si>
  <si>
    <t>Break Label</t>
  </si>
  <si>
    <t>Project Week</t>
  </si>
  <si>
    <t>W43/2026</t>
  </si>
  <si>
    <t>2026-10-19</t>
  </si>
  <si>
    <t>2026-10-25</t>
  </si>
  <si>
    <t>Planning</t>
  </si>
  <si>
    <t>N</t>
  </si>
  <si>
    <t>W44/2026</t>
  </si>
  <si>
    <t>2026-10-26</t>
  </si>
  <si>
    <t>2026-11-01</t>
  </si>
  <si>
    <t>W45/2026</t>
  </si>
  <si>
    <t>2026-11-02</t>
  </si>
  <si>
    <t>2026-11-08</t>
  </si>
  <si>
    <t>W46/2026</t>
  </si>
  <si>
    <t>2026-11-09</t>
  </si>
  <si>
    <t>2026-11-15</t>
  </si>
  <si>
    <t>W47/2026</t>
  </si>
  <si>
    <t>2026-11-16</t>
  </si>
  <si>
    <t>2026-11-22</t>
  </si>
  <si>
    <t>W48/2026</t>
  </si>
  <si>
    <t>2026-11-23</t>
  </si>
  <si>
    <t>2026-11-29</t>
  </si>
  <si>
    <t>W49/2026</t>
  </si>
  <si>
    <t>2026-11-30</t>
  </si>
  <si>
    <t>2026-12-06</t>
  </si>
  <si>
    <t>W50/2026</t>
  </si>
  <si>
    <t>2026-12-07</t>
  </si>
  <si>
    <t>2026-12-13</t>
  </si>
  <si>
    <t>Break</t>
  </si>
  <si>
    <t>Y</t>
  </si>
  <si>
    <t>Christmas break</t>
  </si>
  <si>
    <t>W51/2026</t>
  </si>
  <si>
    <t>2026-12-14</t>
  </si>
  <si>
    <t>2026-12-20</t>
  </si>
  <si>
    <t>W52/2026</t>
  </si>
  <si>
    <t>2026-12-21</t>
  </si>
  <si>
    <t>2026-12-27</t>
  </si>
  <si>
    <t>W01/2027</t>
  </si>
  <si>
    <t>2027-01-04</t>
  </si>
  <si>
    <t>2027-01-10</t>
  </si>
  <si>
    <t>W02/2027</t>
  </si>
  <si>
    <t>2027-01-11</t>
  </si>
  <si>
    <t>2027-01-17</t>
  </si>
  <si>
    <t>Implementation</t>
  </si>
  <si>
    <t>W03/2027</t>
  </si>
  <si>
    <t>2027-01-18</t>
  </si>
  <si>
    <t>2027-01-24</t>
  </si>
  <si>
    <t>W04/2027</t>
  </si>
  <si>
    <t>2027-01-25</t>
  </si>
  <si>
    <t>2027-01-31</t>
  </si>
  <si>
    <t>W05/2027</t>
  </si>
  <si>
    <t>2027-02-01</t>
  </si>
  <si>
    <t>2027-02-07</t>
  </si>
  <si>
    <t>W06/2027</t>
  </si>
  <si>
    <t>2027-02-08</t>
  </si>
  <si>
    <t>2027-02-14</t>
  </si>
  <si>
    <t>W07/2027</t>
  </si>
  <si>
    <t>2027-02-15</t>
  </si>
  <si>
    <t>2027-02-21</t>
  </si>
  <si>
    <t>W08/2027</t>
  </si>
  <si>
    <t>2027-02-22</t>
  </si>
  <si>
    <t>2027-02-28</t>
  </si>
  <si>
    <t>Exam week</t>
  </si>
  <si>
    <t>W09/2027</t>
  </si>
  <si>
    <t>2027-03-01</t>
  </si>
  <si>
    <t>2027-03-07</t>
  </si>
  <si>
    <t>Reporting</t>
  </si>
  <si>
    <t>W10/2027</t>
  </si>
  <si>
    <t>2027-03-08</t>
  </si>
  <si>
    <t>2027-03-14</t>
  </si>
  <si>
    <t>W11/2027</t>
  </si>
  <si>
    <t>2027-03-15</t>
  </si>
  <si>
    <t>2027-03-21</t>
  </si>
  <si>
    <t>W12/2027</t>
  </si>
  <si>
    <t>2027-03-22</t>
  </si>
  <si>
    <t>2027-03-28</t>
  </si>
  <si>
    <t>W13/2027</t>
  </si>
  <si>
    <t>2027-03-29</t>
  </si>
  <si>
    <t>2027-04-04</t>
  </si>
  <si>
    <t>W14/2027</t>
  </si>
  <si>
    <t>2027-04-05</t>
  </si>
  <si>
    <t>2027-04-11</t>
  </si>
  <si>
    <t>W15/2027</t>
  </si>
  <si>
    <t>2027-04-12</t>
  </si>
  <si>
    <t>2027-04-18</t>
  </si>
  <si>
    <t>W16/2027</t>
  </si>
  <si>
    <t>2027-04-19</t>
  </si>
  <si>
    <t>2027-04-25</t>
  </si>
  <si>
    <t>W17/2027</t>
  </si>
  <si>
    <t>2027-04-26</t>
  </si>
  <si>
    <t>2027-05-02</t>
  </si>
  <si>
    <t>Exam period</t>
  </si>
  <si>
    <t>W18/2027</t>
  </si>
  <si>
    <t>2027-05-03</t>
  </si>
  <si>
    <t>2027-05-09</t>
  </si>
  <si>
    <t>ID</t>
  </si>
  <si>
    <t>Task</t>
  </si>
  <si>
    <t>Responsible</t>
  </si>
  <si>
    <t>Type</t>
  </si>
  <si>
    <t>Start (Cal Wk)</t>
  </si>
  <si>
    <t>End (Cal Wk)</t>
  </si>
  <si>
    <t>Deliverable / Milestone</t>
  </si>
  <si>
    <t>Start Date</t>
  </si>
  <si>
    <t>End Date</t>
  </si>
  <si>
    <t>Start (Proj Wk)</t>
  </si>
  <si>
    <t>End (Proj Wk)</t>
  </si>
  <si>
    <t>T1</t>
  </si>
  <si>
    <t>Kickoff and background research</t>
  </si>
  <si>
    <t>Whole team</t>
  </si>
  <si>
    <t>Shared reading list</t>
  </si>
  <si>
    <t>T2</t>
  </si>
  <si>
    <t>Detailed literature review</t>
  </si>
  <si>
    <t>Author A</t>
  </si>
  <si>
    <t>Background chapter draft</t>
  </si>
  <si>
    <t>T3</t>
  </si>
  <si>
    <t>Method / experimental design</t>
  </si>
  <si>
    <t>Author B</t>
  </si>
  <si>
    <t>Method description</t>
  </si>
  <si>
    <t>T4</t>
  </si>
  <si>
    <t>Data collection / simulations</t>
  </si>
  <si>
    <t>Raw data set</t>
  </si>
  <si>
    <t>T5</t>
  </si>
  <si>
    <t>Interim review meeting</t>
  </si>
  <si>
    <t>Milestone</t>
  </si>
  <si>
    <t>Meeting notes (milestone)</t>
  </si>
  <si>
    <t>T6</t>
  </si>
  <si>
    <t>Data analysis</t>
  </si>
  <si>
    <t>Author C</t>
  </si>
  <si>
    <t>Analysis notebook / results</t>
  </si>
  <si>
    <t>T7</t>
  </si>
  <si>
    <t>Draft report writing</t>
  </si>
  <si>
    <t>Full draft report</t>
  </si>
  <si>
    <t>T8</t>
  </si>
  <si>
    <t>Final report and presentation</t>
  </si>
  <si>
    <t>Final report, slides</t>
  </si>
  <si>
    <t>D1</t>
  </si>
  <si>
    <t>Return of preliminary project plan</t>
  </si>
  <si>
    <t>Deliverable</t>
  </si>
  <si>
    <t>DL Sun 22.11 23:59</t>
  </si>
  <si>
    <t>D2</t>
  </si>
  <si>
    <t>Return of final project plan</t>
  </si>
  <si>
    <t>DL Fri 4.12 23:59</t>
  </si>
  <si>
    <t>D3</t>
  </si>
  <si>
    <t>Return of implementation report</t>
  </si>
  <si>
    <t>DL Sun 21.3 23:59</t>
  </si>
  <si>
    <t>D4</t>
  </si>
  <si>
    <t>Return of project presentation</t>
  </si>
  <si>
    <t>DL Sun 25.4 23:59</t>
  </si>
  <si>
    <t>D5</t>
  </si>
  <si>
    <t>Return of personal course reflection</t>
  </si>
  <si>
    <t>Individual</t>
  </si>
  <si>
    <t>DL Sun 9.5 23:59 (exam period)</t>
  </si>
  <si>
    <t>Task (Responsible)</t>
  </si>
  <si>
    <t>Project week -&gt;</t>
  </si>
  <si>
    <t>Week start (helper) -&gt;</t>
  </si>
  <si>
    <t>T9</t>
  </si>
  <si>
    <t>Prepare presentation</t>
  </si>
  <si>
    <t>This workbook is the editable companion to the Gantt chart (Table 2.2) in the LaTeX project plan template. Edit it here, then e.g. send the file to Claude and ask to update the LaTeX chart to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</si>
</sst>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1"/>
      <color theme="1"/>
      <name val="Calibri"/>
      <family val="2"/>
      <charset val="1"/>
    </font>
    <font>
      <b/>
      <sz val="14"/>
      <name val="Arial"/>
      <family val="2"/>
    </font>
    <font>
      <sz val="11"/>
      <name val="Arial"/>
      <family val="2"/>
    </font>
    <font>
      <b/>
      <sz val="11"/>
      <name val="Arial"/>
      <family val="2"/>
    </font>
    <font>
      <i/>
      <sz val="10"/>
      <color rgb="FF666666"/>
      <name val="Arial"/>
      <family val="2"/>
    </font>
    <font>
      <b/>
      <sz val="11"/>
      <color rgb="FFFFFFFF"/>
      <name val="Arial"/>
      <family val="2"/>
    </font>
    <font>
      <sz val="11"/>
      <color rgb="FF0000FF"/>
      <name val="Arial"/>
      <family val="2"/>
    </font>
    <font>
      <sz val="11"/>
      <color rgb="FF000000"/>
      <name val="Arial"/>
      <family val="2"/>
    </font>
    <font>
      <b/>
      <sz val="8"/>
      <color rgb="FFFFFFFF"/>
      <name val="Arial"/>
      <family val="2"/>
    </font>
    <font>
      <i/>
      <sz val="9"/>
      <name val="Arial"/>
      <family val="2"/>
    </font>
    <font>
      <sz val="8"/>
      <color rgb="FF000000"/>
      <name val="Arial"/>
      <family val="2"/>
    </font>
    <font>
      <i/>
      <sz val="8"/>
      <color rgb="FF888888"/>
      <name val="Arial"/>
      <family val="2"/>
    </font>
    <font>
      <sz val="9"/>
      <name val="Arial"/>
      <family val="2"/>
    </font>
  </fonts>
  <fills count="4">
    <fill>
      <patternFill patternType="none"/>
    </fill>
    <fill>
      <patternFill patternType="gray125"/>
    </fill>
    <fill>
      <patternFill patternType="solid">
        <fgColor rgb="FF4E0094"/>
        <bgColor rgb="FF800080"/>
      </patternFill>
    </fill>
    <fill>
      <patternFill patternType="solid">
        <fgColor rgb="FFE0E0E0"/>
        <bgColor rgb="FFD9D9D9"/>
      </patternFill>
    </fill>
  </fills>
  <borders count="3">
    <border>
      <left/>
      <right/>
      <top/>
      <bottom/>
      <diagonal/>
    </border>
    <border>
      <left style="medium">
        <color auto="1"/>
      </left>
      <right/>
      <top/>
      <bottom/>
      <diagonal/>
    </border>
    <border>
      <left/>
      <right/>
      <top/>
      <bottom style="thin">
        <color indexed="64"/>
      </bottom>
      <diagonal/>
    </border>
  </borders>
  <cellStyleXfs count="1">
    <xf numFmtId="0" fontId="0" fillId="0" borderId="0"/>
  </cellStyleXfs>
  <cellXfs count="31">
    <xf numFmtId="0" fontId="0" fillId="0" borderId="0" xfId="0"/>
    <xf numFmtId="0" fontId="1" fillId="0" borderId="0" xfId="0" applyFont="1"/>
    <xf numFmtId="0" fontId="2" fillId="0" borderId="0" xfId="0" applyFont="1" applyAlignment="1">
      <alignment wrapText="1"/>
    </xf>
    <xf numFmtId="0" fontId="3" fillId="0" borderId="0" xfId="0" applyFont="1"/>
    <xf numFmtId="0" fontId="2" fillId="0" borderId="0" xfId="0" applyFont="1" applyAlignment="1">
      <alignment vertical="top" wrapText="1"/>
    </xf>
    <xf numFmtId="0" fontId="4" fillId="0" borderId="0" xfId="0" applyFont="1" applyAlignment="1">
      <alignment wrapText="1"/>
    </xf>
    <xf numFmtId="0" fontId="5" fillId="2" borderId="0" xfId="0" applyFont="1" applyFill="1" applyAlignment="1">
      <alignment horizontal="center" vertical="center" wrapText="1"/>
    </xf>
    <xf numFmtId="0" fontId="6" fillId="0" borderId="0" xfId="0" applyFont="1"/>
    <xf numFmtId="164" fontId="6" fillId="0" borderId="0" xfId="0" applyNumberFormat="1" applyFont="1"/>
    <xf numFmtId="0" fontId="7" fillId="0" borderId="0" xfId="0" applyFont="1" applyAlignment="1">
      <alignment horizontal="center"/>
    </xf>
    <xf numFmtId="0" fontId="6" fillId="3" borderId="0" xfId="0" applyFont="1" applyFill="1"/>
    <xf numFmtId="164" fontId="6" fillId="3" borderId="0" xfId="0" applyNumberFormat="1" applyFont="1" applyFill="1"/>
    <xf numFmtId="0" fontId="7" fillId="3" borderId="0" xfId="0" applyFont="1" applyFill="1" applyAlignment="1">
      <alignment horizontal="center"/>
    </xf>
    <xf numFmtId="164" fontId="7" fillId="0" borderId="0" xfId="0" applyNumberFormat="1" applyFont="1" applyAlignment="1">
      <alignment horizontal="center"/>
    </xf>
    <xf numFmtId="0" fontId="8" fillId="2" borderId="0" xfId="0" applyFont="1" applyFill="1" applyAlignment="1">
      <alignment horizontal="center" vertical="center"/>
    </xf>
    <xf numFmtId="0" fontId="8" fillId="2" borderId="1" xfId="0" applyFont="1" applyFill="1" applyBorder="1" applyAlignment="1">
      <alignment horizontal="center" vertical="center"/>
    </xf>
    <xf numFmtId="0" fontId="9" fillId="0" borderId="0" xfId="0" applyFont="1"/>
    <xf numFmtId="0" fontId="10" fillId="0" borderId="0" xfId="0" applyFont="1" applyAlignment="1">
      <alignment horizontal="center" vertical="center"/>
    </xf>
    <xf numFmtId="0" fontId="10" fillId="0" borderId="1" xfId="0" applyFont="1" applyBorder="1" applyAlignment="1">
      <alignment horizontal="center" vertical="center"/>
    </xf>
    <xf numFmtId="0" fontId="11" fillId="0" borderId="0" xfId="0" applyFont="1"/>
    <xf numFmtId="164" fontId="10" fillId="0" borderId="0" xfId="0" applyNumberFormat="1" applyFont="1" applyAlignment="1">
      <alignment horizontal="center" vertical="center"/>
    </xf>
    <xf numFmtId="164" fontId="10" fillId="0" borderId="1" xfId="0" applyNumberFormat="1" applyFont="1" applyBorder="1" applyAlignment="1">
      <alignment horizontal="center" vertical="center"/>
    </xf>
    <xf numFmtId="0" fontId="12" fillId="0" borderId="0" xfId="0" applyFont="1" applyAlignment="1">
      <alignment vertical="center" wrapText="1"/>
    </xf>
    <xf numFmtId="0" fontId="8" fillId="0" borderId="0" xfId="0" applyFont="1" applyAlignment="1">
      <alignment horizontal="center" vertical="center"/>
    </xf>
    <xf numFmtId="0" fontId="8" fillId="0" borderId="1" xfId="0" applyFont="1" applyBorder="1" applyAlignment="1">
      <alignment horizontal="center" vertical="center"/>
    </xf>
    <xf numFmtId="0" fontId="3" fillId="0" borderId="0" xfId="0" applyFont="1" applyAlignment="1">
      <alignment vertical="center"/>
    </xf>
    <xf numFmtId="164" fontId="0" fillId="0" borderId="0" xfId="0" applyNumberFormat="1" applyAlignment="1">
      <alignment vertical="center"/>
    </xf>
    <xf numFmtId="0" fontId="0" fillId="0" borderId="0" xfId="0" applyAlignment="1">
      <alignment vertical="center"/>
    </xf>
    <xf numFmtId="0" fontId="6" fillId="0" borderId="2" xfId="0" applyFont="1" applyBorder="1"/>
    <xf numFmtId="164" fontId="7" fillId="0" borderId="2" xfId="0" applyNumberFormat="1" applyFont="1" applyBorder="1" applyAlignment="1">
      <alignment horizontal="center"/>
    </xf>
    <xf numFmtId="0" fontId="7" fillId="0" borderId="2" xfId="0" applyFont="1" applyBorder="1" applyAlignment="1">
      <alignment horizontal="center"/>
    </xf>
  </cellXfs>
  <cellStyles count="1">
    <cellStyle name="Normal" xfId="0" builtinId="0"/>
  </cellStyles>
  <dxfs count="4">
    <dxf>
      <fill>
        <patternFill>
          <bgColor rgb="FFE68A00"/>
        </patternFill>
      </fill>
    </dxf>
    <dxf>
      <fill>
        <patternFill>
          <bgColor rgb="FF4E0094"/>
        </patternFill>
      </fill>
    </dxf>
    <dxf>
      <fill>
        <patternFill>
          <bgColor rgb="FF8C6BB1"/>
        </patternFill>
      </fill>
    </dxf>
    <dxf>
      <fill>
        <patternFill>
          <bgColor rgb="FFD9D9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FCC"/>
      <rgbColor rgb="FFCCFFFF"/>
      <rgbColor rgb="FF4E0094"/>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0E0E0"/>
      <rgbColor rgb="FFFFFF99"/>
      <rgbColor rgb="FF99CCFF"/>
      <rgbColor rgb="FFFF99CC"/>
      <rgbColor rgb="FFCC99FF"/>
      <rgbColor rgb="FFFFCC99"/>
      <rgbColor rgb="FF3366FF"/>
      <rgbColor rgb="FF33CCCC"/>
      <rgbColor rgb="FF99CC00"/>
      <rgbColor rgb="FFFFCC00"/>
      <rgbColor rgb="FFE68A00"/>
      <rgbColor rgb="FFFF6600"/>
      <rgbColor rgb="FF666666"/>
      <rgbColor rgb="FF8C6BB1"/>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19"/>
  <sheetViews>
    <sheetView showGridLines="0" tabSelected="1" zoomScaleNormal="100" workbookViewId="0">
      <selection activeCell="A4" sqref="A4"/>
    </sheetView>
  </sheetViews>
  <sheetFormatPr baseColWidth="10" defaultColWidth="8.6640625" defaultRowHeight="15" x14ac:dyDescent="0.2"/>
  <cols>
    <col min="1" max="1" width="100" customWidth="1"/>
  </cols>
  <sheetData>
    <row r="1" spans="1:1" ht="18" x14ac:dyDescent="0.2">
      <c r="A1" s="1" t="s">
        <v>0</v>
      </c>
    </row>
    <row r="3" spans="1:1" ht="31" x14ac:dyDescent="0.2">
      <c r="A3" s="2" t="s">
        <v>174</v>
      </c>
    </row>
    <row r="5" spans="1:1" x14ac:dyDescent="0.2">
      <c r="A5" s="3" t="s">
        <v>1</v>
      </c>
    </row>
    <row r="6" spans="1:1" ht="45" x14ac:dyDescent="0.2">
      <c r="A6" s="4" t="s">
        <v>2</v>
      </c>
    </row>
    <row r="7" spans="1:1" x14ac:dyDescent="0.2">
      <c r="A7" s="4"/>
    </row>
    <row r="8" spans="1:1" ht="45" x14ac:dyDescent="0.2">
      <c r="A8" s="4" t="s">
        <v>3</v>
      </c>
    </row>
    <row r="9" spans="1:1" x14ac:dyDescent="0.2">
      <c r="A9" s="4"/>
    </row>
    <row r="10" spans="1:1" ht="30" x14ac:dyDescent="0.2">
      <c r="A10" s="4" t="s">
        <v>4</v>
      </c>
    </row>
    <row r="12" spans="1:1" x14ac:dyDescent="0.2">
      <c r="A12" s="3" t="s">
        <v>5</v>
      </c>
    </row>
    <row r="13" spans="1:1" x14ac:dyDescent="0.2">
      <c r="A13" s="4" t="s">
        <v>6</v>
      </c>
    </row>
    <row r="14" spans="1:1" x14ac:dyDescent="0.2">
      <c r="A14" s="4" t="s">
        <v>7</v>
      </c>
    </row>
    <row r="15" spans="1:1" x14ac:dyDescent="0.2">
      <c r="A15" s="4" t="s">
        <v>8</v>
      </c>
    </row>
    <row r="16" spans="1:1" ht="45" x14ac:dyDescent="0.2">
      <c r="A16" s="4" t="s">
        <v>9</v>
      </c>
    </row>
    <row r="17" spans="1:1" ht="30" x14ac:dyDescent="0.2">
      <c r="A17" s="4" t="s">
        <v>10</v>
      </c>
    </row>
    <row r="19" spans="1:1" ht="29" x14ac:dyDescent="0.2">
      <c r="A19" s="5" t="s">
        <v>11</v>
      </c>
    </row>
  </sheetData>
  <pageMargins left="0.75" right="0.75" top="1" bottom="1" header="0.511811023622047" footer="0.511811023622047"/>
  <pageSetup fitToHeight="0" orientation="portrait" horizontalDpi="300" verticalDpi="300"/>
  <headerFooter>
    <oddHeader>&amp;R&amp;"Aptos"&amp;11&amp;K000000 TUNI Luottamuksellinen - Confidential (3Y)&amp;1#_x000D_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29"/>
  <sheetViews>
    <sheetView showGridLines="0" zoomScaleNormal="100" workbookViewId="0">
      <pane ySplit="1" topLeftCell="A2" activePane="bottomLeft" state="frozen"/>
      <selection pane="bottomLeft"/>
    </sheetView>
  </sheetViews>
  <sheetFormatPr baseColWidth="10" defaultColWidth="8.6640625" defaultRowHeight="15" x14ac:dyDescent="0.2"/>
  <cols>
    <col min="1" max="1" width="14" customWidth="1"/>
    <col min="2" max="3" width="12" customWidth="1"/>
    <col min="4" max="4" width="15" customWidth="1"/>
    <col min="5" max="5" width="14" customWidth="1"/>
    <col min="6" max="6" width="18" customWidth="1"/>
    <col min="7" max="7" width="14" customWidth="1"/>
  </cols>
  <sheetData>
    <row r="1" spans="1:7" ht="30" x14ac:dyDescent="0.2">
      <c r="A1" s="6" t="s">
        <v>12</v>
      </c>
      <c r="B1" s="6" t="s">
        <v>13</v>
      </c>
      <c r="C1" s="6" t="s">
        <v>14</v>
      </c>
      <c r="D1" s="6" t="s">
        <v>15</v>
      </c>
      <c r="E1" s="6" t="s">
        <v>16</v>
      </c>
      <c r="F1" s="6" t="s">
        <v>17</v>
      </c>
      <c r="G1" s="6" t="s">
        <v>18</v>
      </c>
    </row>
    <row r="2" spans="1:7" x14ac:dyDescent="0.2">
      <c r="A2" s="7" t="s">
        <v>19</v>
      </c>
      <c r="B2" s="8" t="s">
        <v>20</v>
      </c>
      <c r="C2" s="8" t="s">
        <v>21</v>
      </c>
      <c r="D2" s="7" t="s">
        <v>22</v>
      </c>
      <c r="E2" s="7" t="s">
        <v>23</v>
      </c>
      <c r="F2" s="7"/>
      <c r="G2" s="9">
        <f>IF(E2="Y","",COUNTIF($E$2:E2,"N"))</f>
        <v>1</v>
      </c>
    </row>
    <row r="3" spans="1:7" x14ac:dyDescent="0.2">
      <c r="A3" s="7" t="s">
        <v>24</v>
      </c>
      <c r="B3" s="8" t="s">
        <v>25</v>
      </c>
      <c r="C3" s="8" t="s">
        <v>26</v>
      </c>
      <c r="D3" s="7" t="s">
        <v>22</v>
      </c>
      <c r="E3" s="7" t="s">
        <v>23</v>
      </c>
      <c r="F3" s="7"/>
      <c r="G3" s="9">
        <f>IF(E3="Y","",COUNTIF($E$2:E3,"N"))</f>
        <v>2</v>
      </c>
    </row>
    <row r="4" spans="1:7" x14ac:dyDescent="0.2">
      <c r="A4" s="7" t="s">
        <v>27</v>
      </c>
      <c r="B4" s="8" t="s">
        <v>28</v>
      </c>
      <c r="C4" s="8" t="s">
        <v>29</v>
      </c>
      <c r="D4" s="7" t="s">
        <v>22</v>
      </c>
      <c r="E4" s="7" t="s">
        <v>23</v>
      </c>
      <c r="F4" s="7"/>
      <c r="G4" s="9">
        <f>IF(E4="Y","",COUNTIF($E$2:E4,"N"))</f>
        <v>3</v>
      </c>
    </row>
    <row r="5" spans="1:7" x14ac:dyDescent="0.2">
      <c r="A5" s="7" t="s">
        <v>30</v>
      </c>
      <c r="B5" s="8" t="s">
        <v>31</v>
      </c>
      <c r="C5" s="8" t="s">
        <v>32</v>
      </c>
      <c r="D5" s="7" t="s">
        <v>22</v>
      </c>
      <c r="E5" s="7" t="s">
        <v>23</v>
      </c>
      <c r="F5" s="7"/>
      <c r="G5" s="9">
        <f>IF(E5="Y","",COUNTIF($E$2:E5,"N"))</f>
        <v>4</v>
      </c>
    </row>
    <row r="6" spans="1:7" x14ac:dyDescent="0.2">
      <c r="A6" s="7" t="s">
        <v>33</v>
      </c>
      <c r="B6" s="8" t="s">
        <v>34</v>
      </c>
      <c r="C6" s="8" t="s">
        <v>35</v>
      </c>
      <c r="D6" s="7" t="s">
        <v>22</v>
      </c>
      <c r="E6" s="7" t="s">
        <v>23</v>
      </c>
      <c r="F6" s="7"/>
      <c r="G6" s="9">
        <f>IF(E6="Y","",COUNTIF($E$2:E6,"N"))</f>
        <v>5</v>
      </c>
    </row>
    <row r="7" spans="1:7" x14ac:dyDescent="0.2">
      <c r="A7" s="7" t="s">
        <v>36</v>
      </c>
      <c r="B7" s="8" t="s">
        <v>37</v>
      </c>
      <c r="C7" s="8" t="s">
        <v>38</v>
      </c>
      <c r="D7" s="7" t="s">
        <v>22</v>
      </c>
      <c r="E7" s="7" t="s">
        <v>23</v>
      </c>
      <c r="F7" s="7"/>
      <c r="G7" s="9">
        <f>IF(E7="Y","",COUNTIF($E$2:E7,"N"))</f>
        <v>6</v>
      </c>
    </row>
    <row r="8" spans="1:7" x14ac:dyDescent="0.2">
      <c r="A8" s="7" t="s">
        <v>39</v>
      </c>
      <c r="B8" s="8" t="s">
        <v>40</v>
      </c>
      <c r="C8" s="8" t="s">
        <v>41</v>
      </c>
      <c r="D8" s="7" t="s">
        <v>22</v>
      </c>
      <c r="E8" s="7" t="s">
        <v>23</v>
      </c>
      <c r="F8" s="7"/>
      <c r="G8" s="9">
        <f>IF(E8="Y","",COUNTIF($E$2:E8,"N"))</f>
        <v>7</v>
      </c>
    </row>
    <row r="9" spans="1:7" x14ac:dyDescent="0.2">
      <c r="A9" s="10" t="s">
        <v>42</v>
      </c>
      <c r="B9" s="11" t="s">
        <v>43</v>
      </c>
      <c r="C9" s="11" t="s">
        <v>44</v>
      </c>
      <c r="D9" s="10" t="s">
        <v>45</v>
      </c>
      <c r="E9" s="10" t="s">
        <v>46</v>
      </c>
      <c r="F9" s="10" t="s">
        <v>47</v>
      </c>
      <c r="G9" s="12" t="str">
        <f>IF(E9="Y","",COUNTIF($E$2:E9,"N"))</f>
        <v/>
      </c>
    </row>
    <row r="10" spans="1:7" x14ac:dyDescent="0.2">
      <c r="A10" s="10" t="s">
        <v>48</v>
      </c>
      <c r="B10" s="11" t="s">
        <v>49</v>
      </c>
      <c r="C10" s="11" t="s">
        <v>50</v>
      </c>
      <c r="D10" s="10" t="s">
        <v>45</v>
      </c>
      <c r="E10" s="10" t="s">
        <v>46</v>
      </c>
      <c r="F10" s="10" t="s">
        <v>47</v>
      </c>
      <c r="G10" s="12" t="str">
        <f>IF(E10="Y","",COUNTIF($E$2:E10,"N"))</f>
        <v/>
      </c>
    </row>
    <row r="11" spans="1:7" x14ac:dyDescent="0.2">
      <c r="A11" s="10" t="s">
        <v>51</v>
      </c>
      <c r="B11" s="11" t="s">
        <v>52</v>
      </c>
      <c r="C11" s="11" t="s">
        <v>53</v>
      </c>
      <c r="D11" s="10" t="s">
        <v>45</v>
      </c>
      <c r="E11" s="10" t="s">
        <v>46</v>
      </c>
      <c r="F11" s="10" t="s">
        <v>47</v>
      </c>
      <c r="G11" s="12" t="str">
        <f>IF(E11="Y","",COUNTIF($E$2:E11,"N"))</f>
        <v/>
      </c>
    </row>
    <row r="12" spans="1:7" x14ac:dyDescent="0.2">
      <c r="A12" s="10" t="s">
        <v>54</v>
      </c>
      <c r="B12" s="11" t="s">
        <v>55</v>
      </c>
      <c r="C12" s="11" t="s">
        <v>56</v>
      </c>
      <c r="D12" s="10" t="s">
        <v>45</v>
      </c>
      <c r="E12" s="10" t="s">
        <v>46</v>
      </c>
      <c r="F12" s="10" t="s">
        <v>47</v>
      </c>
      <c r="G12" s="12" t="str">
        <f>IF(E12="Y","",COUNTIF($E$2:E12,"N"))</f>
        <v/>
      </c>
    </row>
    <row r="13" spans="1:7" x14ac:dyDescent="0.2">
      <c r="A13" s="7" t="s">
        <v>57</v>
      </c>
      <c r="B13" s="8" t="s">
        <v>58</v>
      </c>
      <c r="C13" s="8" t="s">
        <v>59</v>
      </c>
      <c r="D13" s="7" t="s">
        <v>60</v>
      </c>
      <c r="E13" s="7" t="s">
        <v>23</v>
      </c>
      <c r="F13" s="7"/>
      <c r="G13" s="9">
        <f>IF(E13="Y","",COUNTIF($E$2:E13,"N"))</f>
        <v>8</v>
      </c>
    </row>
    <row r="14" spans="1:7" x14ac:dyDescent="0.2">
      <c r="A14" s="7" t="s">
        <v>61</v>
      </c>
      <c r="B14" s="8" t="s">
        <v>62</v>
      </c>
      <c r="C14" s="8" t="s">
        <v>63</v>
      </c>
      <c r="D14" s="7" t="s">
        <v>60</v>
      </c>
      <c r="E14" s="7" t="s">
        <v>23</v>
      </c>
      <c r="F14" s="7"/>
      <c r="G14" s="9">
        <f>IF(E14="Y","",COUNTIF($E$2:E14,"N"))</f>
        <v>9</v>
      </c>
    </row>
    <row r="15" spans="1:7" x14ac:dyDescent="0.2">
      <c r="A15" s="7" t="s">
        <v>64</v>
      </c>
      <c r="B15" s="8" t="s">
        <v>65</v>
      </c>
      <c r="C15" s="8" t="s">
        <v>66</v>
      </c>
      <c r="D15" s="7" t="s">
        <v>60</v>
      </c>
      <c r="E15" s="7" t="s">
        <v>23</v>
      </c>
      <c r="F15" s="7"/>
      <c r="G15" s="9">
        <f>IF(E15="Y","",COUNTIF($E$2:E15,"N"))</f>
        <v>10</v>
      </c>
    </row>
    <row r="16" spans="1:7" x14ac:dyDescent="0.2">
      <c r="A16" s="7" t="s">
        <v>67</v>
      </c>
      <c r="B16" s="8" t="s">
        <v>68</v>
      </c>
      <c r="C16" s="8" t="s">
        <v>69</v>
      </c>
      <c r="D16" s="7" t="s">
        <v>60</v>
      </c>
      <c r="E16" s="7" t="s">
        <v>23</v>
      </c>
      <c r="F16" s="7"/>
      <c r="G16" s="9">
        <f>IF(E16="Y","",COUNTIF($E$2:E16,"N"))</f>
        <v>11</v>
      </c>
    </row>
    <row r="17" spans="1:7" x14ac:dyDescent="0.2">
      <c r="A17" s="7" t="s">
        <v>70</v>
      </c>
      <c r="B17" s="8" t="s">
        <v>71</v>
      </c>
      <c r="C17" s="8" t="s">
        <v>72</v>
      </c>
      <c r="D17" s="7" t="s">
        <v>60</v>
      </c>
      <c r="E17" s="7" t="s">
        <v>23</v>
      </c>
      <c r="F17" s="7"/>
      <c r="G17" s="9">
        <f>IF(E17="Y","",COUNTIF($E$2:E17,"N"))</f>
        <v>12</v>
      </c>
    </row>
    <row r="18" spans="1:7" x14ac:dyDescent="0.2">
      <c r="A18" s="7" t="s">
        <v>73</v>
      </c>
      <c r="B18" s="8" t="s">
        <v>74</v>
      </c>
      <c r="C18" s="8" t="s">
        <v>75</v>
      </c>
      <c r="D18" s="7" t="s">
        <v>60</v>
      </c>
      <c r="E18" s="7" t="s">
        <v>23</v>
      </c>
      <c r="F18" s="7"/>
      <c r="G18" s="9">
        <f>IF(E18="Y","",COUNTIF($E$2:E18,"N"))</f>
        <v>13</v>
      </c>
    </row>
    <row r="19" spans="1:7" x14ac:dyDescent="0.2">
      <c r="A19" s="10" t="s">
        <v>76</v>
      </c>
      <c r="B19" s="11" t="s">
        <v>77</v>
      </c>
      <c r="C19" s="11" t="s">
        <v>78</v>
      </c>
      <c r="D19" s="10" t="s">
        <v>45</v>
      </c>
      <c r="E19" s="10" t="s">
        <v>46</v>
      </c>
      <c r="F19" s="10" t="s">
        <v>79</v>
      </c>
      <c r="G19" s="12" t="str">
        <f>IF(E19="Y","",COUNTIF($E$2:E19,"N"))</f>
        <v/>
      </c>
    </row>
    <row r="20" spans="1:7" x14ac:dyDescent="0.2">
      <c r="A20" s="7" t="s">
        <v>80</v>
      </c>
      <c r="B20" s="8" t="s">
        <v>81</v>
      </c>
      <c r="C20" s="8" t="s">
        <v>82</v>
      </c>
      <c r="D20" s="7" t="s">
        <v>83</v>
      </c>
      <c r="E20" s="7" t="s">
        <v>23</v>
      </c>
      <c r="F20" s="7"/>
      <c r="G20" s="9">
        <f>IF(E20="Y","",COUNTIF($E$2:E20,"N"))</f>
        <v>14</v>
      </c>
    </row>
    <row r="21" spans="1:7" x14ac:dyDescent="0.2">
      <c r="A21" s="7" t="s">
        <v>84</v>
      </c>
      <c r="B21" s="8" t="s">
        <v>85</v>
      </c>
      <c r="C21" s="8" t="s">
        <v>86</v>
      </c>
      <c r="D21" s="7" t="s">
        <v>83</v>
      </c>
      <c r="E21" s="7" t="s">
        <v>23</v>
      </c>
      <c r="F21" s="7"/>
      <c r="G21" s="9">
        <f>IF(E21="Y","",COUNTIF($E$2:E21,"N"))</f>
        <v>15</v>
      </c>
    </row>
    <row r="22" spans="1:7" x14ac:dyDescent="0.2">
      <c r="A22" s="7" t="s">
        <v>87</v>
      </c>
      <c r="B22" s="8" t="s">
        <v>88</v>
      </c>
      <c r="C22" s="8" t="s">
        <v>89</v>
      </c>
      <c r="D22" s="7" t="s">
        <v>83</v>
      </c>
      <c r="E22" s="7" t="s">
        <v>23</v>
      </c>
      <c r="F22" s="7"/>
      <c r="G22" s="9">
        <f>IF(E22="Y","",COUNTIF($E$2:E22,"N"))</f>
        <v>16</v>
      </c>
    </row>
    <row r="23" spans="1:7" x14ac:dyDescent="0.2">
      <c r="A23" s="7" t="s">
        <v>90</v>
      </c>
      <c r="B23" s="8" t="s">
        <v>91</v>
      </c>
      <c r="C23" s="8" t="s">
        <v>92</v>
      </c>
      <c r="D23" s="7" t="s">
        <v>83</v>
      </c>
      <c r="E23" s="7" t="s">
        <v>23</v>
      </c>
      <c r="F23" s="7"/>
      <c r="G23" s="9">
        <f>IF(E23="Y","",COUNTIF($E$2:E23,"N"))</f>
        <v>17</v>
      </c>
    </row>
    <row r="24" spans="1:7" x14ac:dyDescent="0.2">
      <c r="A24" s="7" t="s">
        <v>93</v>
      </c>
      <c r="B24" s="8" t="s">
        <v>94</v>
      </c>
      <c r="C24" s="8" t="s">
        <v>95</v>
      </c>
      <c r="D24" s="7" t="s">
        <v>83</v>
      </c>
      <c r="E24" s="7" t="s">
        <v>23</v>
      </c>
      <c r="F24" s="7"/>
      <c r="G24" s="9">
        <f>IF(E24="Y","",COUNTIF($E$2:E24,"N"))</f>
        <v>18</v>
      </c>
    </row>
    <row r="25" spans="1:7" x14ac:dyDescent="0.2">
      <c r="A25" s="7" t="s">
        <v>96</v>
      </c>
      <c r="B25" s="8" t="s">
        <v>97</v>
      </c>
      <c r="C25" s="8" t="s">
        <v>98</v>
      </c>
      <c r="D25" s="7" t="s">
        <v>83</v>
      </c>
      <c r="E25" s="7" t="s">
        <v>23</v>
      </c>
      <c r="F25" s="7"/>
      <c r="G25" s="9">
        <f>IF(E25="Y","",COUNTIF($E$2:E25,"N"))</f>
        <v>19</v>
      </c>
    </row>
    <row r="26" spans="1:7" x14ac:dyDescent="0.2">
      <c r="A26" s="7" t="s">
        <v>99</v>
      </c>
      <c r="B26" s="8" t="s">
        <v>100</v>
      </c>
      <c r="C26" s="8" t="s">
        <v>101</v>
      </c>
      <c r="D26" s="7" t="s">
        <v>83</v>
      </c>
      <c r="E26" s="7" t="s">
        <v>23</v>
      </c>
      <c r="F26" s="7"/>
      <c r="G26" s="9">
        <f>IF(E26="Y","",COUNTIF($E$2:E26,"N"))</f>
        <v>20</v>
      </c>
    </row>
    <row r="27" spans="1:7" x14ac:dyDescent="0.2">
      <c r="A27" s="7" t="s">
        <v>102</v>
      </c>
      <c r="B27" s="8" t="s">
        <v>103</v>
      </c>
      <c r="C27" s="8" t="s">
        <v>104</v>
      </c>
      <c r="D27" s="7" t="s">
        <v>83</v>
      </c>
      <c r="E27" s="7" t="s">
        <v>23</v>
      </c>
      <c r="F27" s="7"/>
      <c r="G27" s="9">
        <f>IF(E27="Y","",COUNTIF($E$2:E27,"N"))</f>
        <v>21</v>
      </c>
    </row>
    <row r="28" spans="1:7" x14ac:dyDescent="0.2">
      <c r="A28" s="10" t="s">
        <v>105</v>
      </c>
      <c r="B28" s="11" t="s">
        <v>106</v>
      </c>
      <c r="C28" s="11" t="s">
        <v>107</v>
      </c>
      <c r="D28" s="10" t="s">
        <v>45</v>
      </c>
      <c r="E28" s="10" t="s">
        <v>46</v>
      </c>
      <c r="F28" s="10" t="s">
        <v>108</v>
      </c>
      <c r="G28" s="12" t="str">
        <f>IF(E28="Y","",COUNTIF($E$2:E28,"N"))</f>
        <v/>
      </c>
    </row>
    <row r="29" spans="1:7" x14ac:dyDescent="0.2">
      <c r="A29" s="10" t="s">
        <v>109</v>
      </c>
      <c r="B29" s="11" t="s">
        <v>110</v>
      </c>
      <c r="C29" s="11" t="s">
        <v>111</v>
      </c>
      <c r="D29" s="10" t="s">
        <v>45</v>
      </c>
      <c r="E29" s="10" t="s">
        <v>46</v>
      </c>
      <c r="F29" s="10" t="s">
        <v>108</v>
      </c>
      <c r="G29" s="12" t="str">
        <f>IF(E29="Y","",COUNTIF($E$2:E29,"N"))</f>
        <v/>
      </c>
    </row>
  </sheetData>
  <pageMargins left="0.75" right="0.75" top="1" bottom="1" header="0.511811023622047" footer="0.511811023622047"/>
  <pageSetup fitToHeight="0" orientation="portrait" horizontalDpi="300" verticalDpi="300"/>
  <headerFooter>
    <oddHeader>&amp;R&amp;"Aptos"&amp;11&amp;K000000 TUNI Luottamuksellinen - Confidential (3Y)&amp;1#_x000D_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9"/>
  <sheetViews>
    <sheetView showGridLines="0" zoomScale="130" zoomScaleNormal="130" workbookViewId="0">
      <pane ySplit="1" topLeftCell="A2" activePane="bottomLeft" state="frozen"/>
      <selection pane="bottomLeft" activeCell="B20" sqref="B20"/>
    </sheetView>
  </sheetViews>
  <sheetFormatPr baseColWidth="10" defaultColWidth="8.6640625" defaultRowHeight="15" x14ac:dyDescent="0.2"/>
  <cols>
    <col min="1" max="1" width="6" customWidth="1"/>
    <col min="2" max="2" width="32" customWidth="1"/>
    <col min="3" max="4" width="12" customWidth="1"/>
    <col min="5" max="6" width="13" customWidth="1"/>
    <col min="7" max="7" width="30" customWidth="1"/>
    <col min="8" max="11" width="12" customWidth="1"/>
    <col min="12" max="12" width="30" customWidth="1"/>
  </cols>
  <sheetData>
    <row r="1" spans="1:12" ht="30" x14ac:dyDescent="0.2">
      <c r="A1" s="6" t="s">
        <v>112</v>
      </c>
      <c r="B1" s="6" t="s">
        <v>113</v>
      </c>
      <c r="C1" s="6" t="s">
        <v>114</v>
      </c>
      <c r="D1" s="6" t="s">
        <v>115</v>
      </c>
      <c r="E1" s="6" t="s">
        <v>116</v>
      </c>
      <c r="F1" s="6" t="s">
        <v>117</v>
      </c>
      <c r="G1" s="6" t="s">
        <v>118</v>
      </c>
      <c r="H1" s="6" t="s">
        <v>119</v>
      </c>
      <c r="I1" s="6" t="s">
        <v>120</v>
      </c>
      <c r="J1" s="6" t="s">
        <v>121</v>
      </c>
      <c r="K1" s="6" t="s">
        <v>122</v>
      </c>
      <c r="L1" s="6" t="inlineStr">
        <is>
          <t>Gantt label</t>
        </is>
      </c>
    </row>
    <row r="2" spans="1:12" x14ac:dyDescent="0.2">
      <c r="A2" s="7" t="s">
        <v>123</v>
      </c>
      <c r="B2" s="7" t="s">
        <v>124</v>
      </c>
      <c r="C2" s="7" t="s">
        <v>125</v>
      </c>
      <c r="D2" s="7" t="s">
        <v>113</v>
      </c>
      <c r="E2" s="7" t="s">
        <v>19</v>
      </c>
      <c r="F2" s="7" t="s">
        <v>24</v>
      </c>
      <c r="G2" s="7" t="s">
        <v>126</v>
      </c>
      <c r="H2" s="13" t="str">
        <f>INDEX(Weeks!$B:$B,MATCH(E2,Weeks!$A:$A,0))</f>
        <v>2026-10-19</v>
      </c>
      <c r="I2" s="13" t="str">
        <f>INDEX(Weeks!$C:$C,MATCH(F2,Weeks!$A:$A,0))</f>
        <v>2026-11-01</v>
      </c>
      <c r="J2" s="9">
        <f>INDEX(Weeks!$G:$G,MATCH(E2,Weeks!$A:$A,0))</f>
        <v>1</v>
      </c>
      <c r="K2" s="9">
        <f>INDEX(Weeks!$G:$G,MATCH(F2,Weeks!$A:$A,0))</f>
        <v>2</v>
      </c>
      <c r="L2" s="7" t="inlineStr">
        <is>
          <t>Kickoff &amp; background research</t>
        </is>
      </c>
    </row>
    <row r="3" spans="1:12" x14ac:dyDescent="0.2">
      <c r="A3" s="7" t="s">
        <v>127</v>
      </c>
      <c r="B3" s="7" t="s">
        <v>128</v>
      </c>
      <c r="C3" s="7" t="s">
        <v>129</v>
      </c>
      <c r="D3" s="7" t="s">
        <v>113</v>
      </c>
      <c r="E3" s="7" t="s">
        <v>24</v>
      </c>
      <c r="F3" s="7" t="s">
        <v>33</v>
      </c>
      <c r="G3" s="7" t="s">
        <v>130</v>
      </c>
      <c r="H3" s="13" t="str">
        <f>INDEX(Weeks!$B:$B,MATCH(E3,Weeks!$A:$A,0))</f>
        <v>2026-10-26</v>
      </c>
      <c r="I3" s="13" t="str">
        <f>INDEX(Weeks!$C:$C,MATCH(F3,Weeks!$A:$A,0))</f>
        <v>2026-11-22</v>
      </c>
      <c r="J3" s="9">
        <f>INDEX(Weeks!$G:$G,MATCH(E3,Weeks!$A:$A,0))</f>
        <v>2</v>
      </c>
      <c r="K3" s="9">
        <f>INDEX(Weeks!$G:$G,MATCH(F3,Weeks!$A:$A,0))</f>
        <v>5</v>
      </c>
      <c r="L3" s="7" t="inlineStr">
        <is>
          <t>Literature review</t>
        </is>
      </c>
    </row>
    <row r="4" spans="1:12" x14ac:dyDescent="0.2">
      <c r="A4" s="7" t="s">
        <v>152</v>
      </c>
      <c r="B4" s="7" t="s">
        <v>153</v>
      </c>
      <c r="C4" s="7" t="s">
        <v>125</v>
      </c>
      <c r="D4" s="7" t="s">
        <v>154</v>
      </c>
      <c r="E4" s="7" t="s">
        <v>33</v>
      </c>
      <c r="F4" s="7" t="s">
        <v>33</v>
      </c>
      <c r="G4" s="7" t="s">
        <v>155</v>
      </c>
      <c r="H4" s="13" t="str">
        <f>INDEX(Weeks!$B:$B,MATCH(E4,Weeks!$A:$A,0))</f>
        <v>2026-11-16</v>
      </c>
      <c r="I4" s="13" t="str">
        <f>INDEX(Weeks!$C:$C,MATCH(F4,Weeks!$A:$A,0))</f>
        <v>2026-11-22</v>
      </c>
      <c r="J4" s="9">
        <f>INDEX(Weeks!$G:$G,MATCH(E4,Weeks!$A:$A,0))</f>
        <v>5</v>
      </c>
      <c r="K4" s="9">
        <f>INDEX(Weeks!$G:$G,MATCH(F4,Weeks!$A:$A,0))</f>
        <v>5</v>
      </c>
      <c r="L4" s="7" t="inlineStr">
        <is>
          <t>Prelim. plan due</t>
        </is>
      </c>
    </row>
    <row r="5" spans="1:12" x14ac:dyDescent="0.2">
      <c r="A5" s="7" t="s">
        <v>131</v>
      </c>
      <c r="B5" s="7" t="s">
        <v>132</v>
      </c>
      <c r="C5" s="7" t="s">
        <v>133</v>
      </c>
      <c r="D5" s="7" t="s">
        <v>113</v>
      </c>
      <c r="E5" s="7" t="s">
        <v>33</v>
      </c>
      <c r="F5" s="7" t="s">
        <v>39</v>
      </c>
      <c r="G5" s="7" t="s">
        <v>134</v>
      </c>
      <c r="H5" s="13" t="str">
        <f>INDEX(Weeks!$B:$B,MATCH(E5,Weeks!$A:$A,0))</f>
        <v>2026-11-16</v>
      </c>
      <c r="I5" s="13" t="str">
        <f>INDEX(Weeks!$C:$C,MATCH(F5,Weeks!$A:$A,0))</f>
        <v>2026-12-06</v>
      </c>
      <c r="J5" s="9">
        <f>INDEX(Weeks!$G:$G,MATCH(E5,Weeks!$A:$A,0))</f>
        <v>5</v>
      </c>
      <c r="K5" s="9">
        <f>INDEX(Weeks!$G:$G,MATCH(F5,Weeks!$A:$A,0))</f>
        <v>7</v>
      </c>
      <c r="L5" s="7" t="inlineStr">
        <is>
          <t>Method/experimental design</t>
        </is>
      </c>
    </row>
    <row r="6" spans="1:12" x14ac:dyDescent="0.2">
      <c r="A6" s="7" t="s">
        <v>156</v>
      </c>
      <c r="B6" s="7" t="s">
        <v>157</v>
      </c>
      <c r="C6" s="7" t="s">
        <v>125</v>
      </c>
      <c r="D6" s="7" t="s">
        <v>154</v>
      </c>
      <c r="E6" s="7" t="s">
        <v>39</v>
      </c>
      <c r="F6" s="7" t="s">
        <v>39</v>
      </c>
      <c r="G6" s="7" t="s">
        <v>158</v>
      </c>
      <c r="H6" s="13" t="str">
        <f>INDEX(Weeks!$B:$B,MATCH(E6,Weeks!$A:$A,0))</f>
        <v>2026-11-30</v>
      </c>
      <c r="I6" s="13" t="str">
        <f>INDEX(Weeks!$C:$C,MATCH(F6,Weeks!$A:$A,0))</f>
        <v>2026-12-06</v>
      </c>
      <c r="J6" s="9">
        <f>INDEX(Weeks!$G:$G,MATCH(E6,Weeks!$A:$A,0))</f>
        <v>7</v>
      </c>
      <c r="K6" s="9">
        <f>INDEX(Weeks!$G:$G,MATCH(F6,Weeks!$A:$A,0))</f>
        <v>7</v>
      </c>
      <c r="L6" s="7" t="inlineStr">
        <is>
          <t>Final plan due</t>
        </is>
      </c>
    </row>
    <row r="7" spans="1:12" x14ac:dyDescent="0.2">
      <c r="A7" s="7" t="s">
        <v>135</v>
      </c>
      <c r="B7" s="7" t="s">
        <v>136</v>
      </c>
      <c r="C7" s="7" t="s">
        <v>125</v>
      </c>
      <c r="D7" s="7" t="s">
        <v>113</v>
      </c>
      <c r="E7" s="7" t="s">
        <v>57</v>
      </c>
      <c r="F7" s="7" t="s">
        <v>67</v>
      </c>
      <c r="G7" s="7" t="s">
        <v>137</v>
      </c>
      <c r="H7" s="13" t="str">
        <f>INDEX(Weeks!$B:$B,MATCH(E7,Weeks!$A:$A,0))</f>
        <v>2027-01-11</v>
      </c>
      <c r="I7" s="13" t="str">
        <f>INDEX(Weeks!$C:$C,MATCH(F7,Weeks!$A:$A,0))</f>
        <v>2027-02-07</v>
      </c>
      <c r="J7" s="9">
        <f>INDEX(Weeks!$G:$G,MATCH(E7,Weeks!$A:$A,0))</f>
        <v>8</v>
      </c>
      <c r="K7" s="9">
        <f>INDEX(Weeks!$G:$G,MATCH(F7,Weeks!$A:$A,0))</f>
        <v>11</v>
      </c>
      <c r="L7" s="7" t="inlineStr">
        <is>
          <t>Data collection / simulations</t>
        </is>
      </c>
    </row>
    <row r="8" spans="1:12" x14ac:dyDescent="0.2">
      <c r="A8" s="7" t="s">
        <v>138</v>
      </c>
      <c r="B8" s="7" t="s">
        <v>139</v>
      </c>
      <c r="C8" s="7" t="s">
        <v>125</v>
      </c>
      <c r="D8" s="7" t="s">
        <v>140</v>
      </c>
      <c r="E8" s="7" t="s">
        <v>64</v>
      </c>
      <c r="F8" s="7" t="s">
        <v>64</v>
      </c>
      <c r="G8" s="7" t="s">
        <v>141</v>
      </c>
      <c r="H8" s="13" t="str">
        <f>INDEX(Weeks!$B:$B,MATCH(E8,Weeks!$A:$A,0))</f>
        <v>2027-01-25</v>
      </c>
      <c r="I8" s="13" t="str">
        <f>INDEX(Weeks!$C:$C,MATCH(F8,Weeks!$A:$A,0))</f>
        <v>2027-01-31</v>
      </c>
      <c r="J8" s="9">
        <f>INDEX(Weeks!$G:$G,MATCH(E8,Weeks!$A:$A,0))</f>
        <v>10</v>
      </c>
      <c r="K8" s="9">
        <f>INDEX(Weeks!$G:$G,MATCH(F8,Weeks!$A:$A,0))</f>
        <v>10</v>
      </c>
      <c r="L8" s="7" t="inlineStr">
        <is>
          <t>Interim review</t>
        </is>
      </c>
    </row>
    <row r="9" spans="1:12" x14ac:dyDescent="0.2">
      <c r="A9" s="7" t="s">
        <v>142</v>
      </c>
      <c r="B9" s="7" t="s">
        <v>143</v>
      </c>
      <c r="C9" s="7" t="s">
        <v>144</v>
      </c>
      <c r="D9" s="7" t="s">
        <v>113</v>
      </c>
      <c r="E9" s="7" t="s">
        <v>70</v>
      </c>
      <c r="F9" s="7" t="s">
        <v>73</v>
      </c>
      <c r="G9" s="7" t="s">
        <v>145</v>
      </c>
      <c r="H9" s="13" t="str">
        <f>INDEX(Weeks!$B:$B,MATCH(E9,Weeks!$A:$A,0))</f>
        <v>2027-02-08</v>
      </c>
      <c r="I9" s="13" t="str">
        <f>INDEX(Weeks!$C:$C,MATCH(F9,Weeks!$A:$A,0))</f>
        <v>2027-02-21</v>
      </c>
      <c r="J9" s="9">
        <f>INDEX(Weeks!$G:$G,MATCH(E9,Weeks!$A:$A,0))</f>
        <v>12</v>
      </c>
      <c r="K9" s="9">
        <f>INDEX(Weeks!$G:$G,MATCH(F9,Weeks!$A:$A,0))</f>
        <v>13</v>
      </c>
      <c r="L9" s="7" t="inlineStr">
        <is>
          <t>Data analysis</t>
        </is>
      </c>
    </row>
    <row r="10" spans="1:12" x14ac:dyDescent="0.2">
      <c r="A10" s="7" t="s">
        <v>146</v>
      </c>
      <c r="B10" s="7" t="s">
        <v>147</v>
      </c>
      <c r="C10" s="7" t="s">
        <v>125</v>
      </c>
      <c r="D10" s="7" t="s">
        <v>113</v>
      </c>
      <c r="E10" s="7" t="s">
        <v>80</v>
      </c>
      <c r="F10" s="7" t="s">
        <v>87</v>
      </c>
      <c r="G10" s="7" t="s">
        <v>148</v>
      </c>
      <c r="H10" s="13" t="str">
        <f>INDEX(Weeks!$B:$B,MATCH(E10,Weeks!$A:$A,0))</f>
        <v>2027-03-01</v>
      </c>
      <c r="I10" s="13" t="str">
        <f>INDEX(Weeks!$C:$C,MATCH(F10,Weeks!$A:$A,0))</f>
        <v>2027-03-21</v>
      </c>
      <c r="J10" s="9">
        <f>INDEX(Weeks!$G:$G,MATCH(E10,Weeks!$A:$A,0))</f>
        <v>14</v>
      </c>
      <c r="K10" s="9">
        <f>INDEX(Weeks!$G:$G,MATCH(F10,Weeks!$A:$A,0))</f>
        <v>16</v>
      </c>
      <c r="L10" s="7" t="inlineStr">
        <is>
          <t>Draft report writing</t>
        </is>
      </c>
    </row>
    <row r="11" spans="1:12" x14ac:dyDescent="0.2">
      <c r="A11" s="7" t="s">
        <v>159</v>
      </c>
      <c r="B11" s="7" t="s">
        <v>160</v>
      </c>
      <c r="C11" s="7" t="s">
        <v>125</v>
      </c>
      <c r="D11" s="7" t="s">
        <v>154</v>
      </c>
      <c r="E11" s="7" t="s">
        <v>87</v>
      </c>
      <c r="F11" s="7" t="s">
        <v>87</v>
      </c>
      <c r="G11" s="7" t="s">
        <v>161</v>
      </c>
      <c r="H11" s="13" t="str">
        <f>INDEX(Weeks!$B:$B,MATCH(E11,Weeks!$A:$A,0))</f>
        <v>2027-03-15</v>
      </c>
      <c r="I11" s="13" t="str">
        <f>INDEX(Weeks!$C:$C,MATCH(F11,Weeks!$A:$A,0))</f>
        <v>2027-03-21</v>
      </c>
      <c r="J11" s="9">
        <f>INDEX(Weeks!$G:$G,MATCH(E11,Weeks!$A:$A,0))</f>
        <v>16</v>
      </c>
      <c r="K11" s="9">
        <f>INDEX(Weeks!$G:$G,MATCH(F11,Weeks!$A:$A,0))</f>
        <v>16</v>
      </c>
      <c r="L11" s="7" t="inlineStr">
        <is>
          <t>Impl. report due</t>
        </is>
      </c>
    </row>
    <row r="12" spans="1:12" x14ac:dyDescent="0.2">
      <c r="A12" s="7" t="s">
        <v>149</v>
      </c>
      <c r="B12" s="7" t="s">
        <v>173</v>
      </c>
      <c r="C12" s="7" t="s">
        <v>125</v>
      </c>
      <c r="D12" s="7" t="s">
        <v>113</v>
      </c>
      <c r="E12" s="7" t="s">
        <v>90</v>
      </c>
      <c r="F12" s="7" t="s">
        <v>96</v>
      </c>
      <c r="G12" s="7" t="s">
        <v>148</v>
      </c>
      <c r="H12" s="13" t="str">
        <f>INDEX(Weeks!$B:$B,MATCH(E12,Weeks!$A:$A,0))</f>
        <v>2027-03-22</v>
      </c>
      <c r="I12" s="13" t="str">
        <f>INDEX(Weeks!$C:$C,MATCH(F12,Weeks!$A:$A,0))</f>
        <v>2027-04-11</v>
      </c>
      <c r="J12" s="9">
        <f>INDEX(Weeks!$G:$G,MATCH(E12,Weeks!$A:$A,0))</f>
        <v>17</v>
      </c>
      <c r="K12" s="9">
        <f>INDEX(Weeks!$G:$G,MATCH(F12,Weeks!$A:$A,0))</f>
        <v>19</v>
      </c>
      <c r="L12" s="7" t="inlineStr">
        <is>
          <t>Prepare presentation</t>
        </is>
      </c>
    </row>
    <row r="13" spans="1:12" x14ac:dyDescent="0.2">
      <c r="A13" s="7" t="s">
        <v>172</v>
      </c>
      <c r="B13" s="7" t="s">
        <v>150</v>
      </c>
      <c r="C13" s="7" t="s">
        <v>125</v>
      </c>
      <c r="D13" s="7" t="s">
        <v>140</v>
      </c>
      <c r="E13" s="7" t="s">
        <v>96</v>
      </c>
      <c r="F13" s="7" t="s">
        <v>102</v>
      </c>
      <c r="G13" s="7" t="s">
        <v>151</v>
      </c>
      <c r="H13" s="13" t="str">
        <f>INDEX(Weeks!$B:$B,MATCH(E13,Weeks!$A:$A,0))</f>
        <v>2027-04-05</v>
      </c>
      <c r="I13" s="13" t="str">
        <f>INDEX(Weeks!$C:$C,MATCH(F13,Weeks!$A:$A,0))</f>
        <v>2027-04-25</v>
      </c>
      <c r="J13" s="9">
        <f>INDEX(Weeks!$G:$G,MATCH(E13,Weeks!$A:$A,0))</f>
        <v>19</v>
      </c>
      <c r="K13" s="9">
        <f>INDEX(Weeks!$G:$G,MATCH(F13,Weeks!$A:$A,0))</f>
        <v>21</v>
      </c>
      <c r="L13" s="7" t="inlineStr">
        <is>
          <t>Final report &amp; presentation</t>
        </is>
      </c>
    </row>
    <row r="14" spans="1:12" x14ac:dyDescent="0.2">
      <c r="A14" s="28" t="s">
        <v>162</v>
      </c>
      <c r="B14" s="28" t="s">
        <v>163</v>
      </c>
      <c r="C14" s="28" t="s">
        <v>125</v>
      </c>
      <c r="D14" s="28" t="s">
        <v>154</v>
      </c>
      <c r="E14" s="28" t="s">
        <v>102</v>
      </c>
      <c r="F14" s="28" t="s">
        <v>102</v>
      </c>
      <c r="G14" s="28" t="s">
        <v>164</v>
      </c>
      <c r="H14" s="29" t="str">
        <f>INDEX(Weeks!$B:$B,MATCH(E14,Weeks!$A:$A,0))</f>
        <v>2027-04-19</v>
      </c>
      <c r="I14" s="29" t="str">
        <f>INDEX(Weeks!$C:$C,MATCH(F14,Weeks!$A:$A,0))</f>
        <v>2027-04-25</v>
      </c>
      <c r="J14" s="30">
        <f>INDEX(Weeks!$G:$G,MATCH(E14,Weeks!$A:$A,0))</f>
        <v>21</v>
      </c>
      <c r="K14" s="30">
        <f>INDEX(Weeks!$G:$G,MATCH(F14,Weeks!$A:$A,0))</f>
        <v>21</v>
      </c>
      <c r="L14" s="28" t="inlineStr">
        <is>
          <t>Presentation due</t>
        </is>
      </c>
    </row>
    <row r="15" spans="1:12" x14ac:dyDescent="0.2">
      <c r="A15" s="7" t="s">
        <v>152</v>
      </c>
      <c r="B15" s="7" t="s">
        <v>153</v>
      </c>
      <c r="C15" s="7" t="s">
        <v>125</v>
      </c>
      <c r="D15" s="7" t="s">
        <v>154</v>
      </c>
      <c r="E15" s="7" t="s">
        <v>33</v>
      </c>
      <c r="F15" s="7" t="s">
        <v>33</v>
      </c>
      <c r="G15" s="7" t="s">
        <v>155</v>
      </c>
      <c r="H15" s="13" t="str">
        <f>INDEX(Weeks!$B:$B,MATCH(E15,Weeks!$A:$A,0))</f>
        <v>2026-11-16</v>
      </c>
      <c r="I15" s="13" t="str">
        <f>INDEX(Weeks!$C:$C,MATCH(F15,Weeks!$A:$A,0))</f>
        <v>2026-11-22</v>
      </c>
      <c r="J15" s="9">
        <f>INDEX(Weeks!$G:$G,MATCH(E15,Weeks!$A:$A,0))</f>
        <v>5</v>
      </c>
      <c r="K15" s="9">
        <f>INDEX(Weeks!$G:$G,MATCH(F15,Weeks!$A:$A,0))</f>
        <v>5</v>
      </c>
      <c r="L15" s="7" t="inlineStr">
        <is>
          <t>Prelim. plan due</t>
        </is>
      </c>
    </row>
    <row r="16" spans="1:12" x14ac:dyDescent="0.2">
      <c r="A16" s="7" t="s">
        <v>156</v>
      </c>
      <c r="B16" s="7" t="s">
        <v>157</v>
      </c>
      <c r="C16" s="7" t="s">
        <v>125</v>
      </c>
      <c r="D16" s="7" t="s">
        <v>154</v>
      </c>
      <c r="E16" s="7" t="s">
        <v>39</v>
      </c>
      <c r="F16" s="7" t="s">
        <v>39</v>
      </c>
      <c r="G16" s="7" t="s">
        <v>158</v>
      </c>
      <c r="H16" s="13" t="str">
        <f>INDEX(Weeks!$B:$B,MATCH(E16,Weeks!$A:$A,0))</f>
        <v>2026-11-30</v>
      </c>
      <c r="I16" s="13" t="str">
        <f>INDEX(Weeks!$C:$C,MATCH(F16,Weeks!$A:$A,0))</f>
        <v>2026-12-06</v>
      </c>
      <c r="J16" s="9">
        <f>INDEX(Weeks!$G:$G,MATCH(E16,Weeks!$A:$A,0))</f>
        <v>7</v>
      </c>
      <c r="K16" s="9">
        <f>INDEX(Weeks!$G:$G,MATCH(F16,Weeks!$A:$A,0))</f>
        <v>7</v>
      </c>
      <c r="L16" s="7" t="inlineStr">
        <is>
          <t>Final plan due</t>
        </is>
      </c>
    </row>
    <row r="17" spans="1:12" x14ac:dyDescent="0.2">
      <c r="A17" s="7" t="s">
        <v>159</v>
      </c>
      <c r="B17" s="7" t="s">
        <v>160</v>
      </c>
      <c r="C17" s="7" t="s">
        <v>125</v>
      </c>
      <c r="D17" s="7" t="s">
        <v>154</v>
      </c>
      <c r="E17" s="7" t="s">
        <v>87</v>
      </c>
      <c r="F17" s="7" t="s">
        <v>87</v>
      </c>
      <c r="G17" s="7" t="s">
        <v>161</v>
      </c>
      <c r="H17" s="13" t="str">
        <f>INDEX(Weeks!$B:$B,MATCH(E17,Weeks!$A:$A,0))</f>
        <v>2027-03-15</v>
      </c>
      <c r="I17" s="13" t="str">
        <f>INDEX(Weeks!$C:$C,MATCH(F17,Weeks!$A:$A,0))</f>
        <v>2027-03-21</v>
      </c>
      <c r="J17" s="9">
        <f>INDEX(Weeks!$G:$G,MATCH(E17,Weeks!$A:$A,0))</f>
        <v>16</v>
      </c>
      <c r="K17" s="9">
        <f>INDEX(Weeks!$G:$G,MATCH(F17,Weeks!$A:$A,0))</f>
        <v>16</v>
      </c>
      <c r="L17" s="7" t="inlineStr">
        <is>
          <t>Impl. report due</t>
        </is>
      </c>
    </row>
    <row r="18" spans="1:12" x14ac:dyDescent="0.2">
      <c r="A18" s="7" t="s">
        <v>162</v>
      </c>
      <c r="B18" s="7" t="s">
        <v>163</v>
      </c>
      <c r="C18" s="7" t="s">
        <v>125</v>
      </c>
      <c r="D18" s="7" t="s">
        <v>154</v>
      </c>
      <c r="E18" s="7" t="s">
        <v>102</v>
      </c>
      <c r="F18" s="7" t="s">
        <v>102</v>
      </c>
      <c r="G18" s="7" t="s">
        <v>164</v>
      </c>
      <c r="H18" s="13" t="str">
        <f>INDEX(Weeks!$B:$B,MATCH(E18,Weeks!$A:$A,0))</f>
        <v>2027-04-19</v>
      </c>
      <c r="I18" s="13" t="str">
        <f>INDEX(Weeks!$C:$C,MATCH(F18,Weeks!$A:$A,0))</f>
        <v>2027-04-25</v>
      </c>
      <c r="J18" s="9">
        <f>INDEX(Weeks!$G:$G,MATCH(E18,Weeks!$A:$A,0))</f>
        <v>21</v>
      </c>
      <c r="K18" s="9">
        <f>INDEX(Weeks!$G:$G,MATCH(F18,Weeks!$A:$A,0))</f>
        <v>21</v>
      </c>
      <c r="L18" s="7" t="inlineStr">
        <is>
          <t>Presentation due</t>
        </is>
      </c>
    </row>
    <row r="19" spans="1:12" x14ac:dyDescent="0.2">
      <c r="A19" s="7" t="s">
        <v>165</v>
      </c>
      <c r="B19" s="7" t="s">
        <v>166</v>
      </c>
      <c r="C19" s="7" t="s">
        <v>167</v>
      </c>
      <c r="D19" s="7" t="s">
        <v>154</v>
      </c>
      <c r="E19" s="7" t="s">
        <v>109</v>
      </c>
      <c r="F19" s="7" t="s">
        <v>109</v>
      </c>
      <c r="G19" s="7" t="s">
        <v>168</v>
      </c>
      <c r="H19" s="13" t="str">
        <f>INDEX(Weeks!$B:$B,MATCH(E19,Weeks!$A:$A,0))</f>
        <v>2027-05-03</v>
      </c>
      <c r="I19" s="13" t="str">
        <f>INDEX(Weeks!$C:$C,MATCH(F19,Weeks!$A:$A,0))</f>
        <v>2027-05-09</v>
      </c>
      <c r="J19" s="9" t="str">
        <f>INDEX(Weeks!$G:$G,MATCH(E19,Weeks!$A:$A,0))</f>
        <v/>
      </c>
      <c r="K19" s="9" t="str">
        <f>INDEX(Weeks!$G:$G,MATCH(F19,Weeks!$A:$A,0))</f>
        <v/>
      </c>
      <c r="L19" s="7" t="inlineStr">
        <is>
          <t>Reflection due</t>
        </is>
      </c>
    </row>
  </sheetData>
  <dataValidations count="1">
    <dataValidation type="list" sqref="D14 D2:D13 D15:D19" xr:uid="{00000000-0002-0000-0200-000000000000}">
      <formula1>"Task,Milestone,Deliverable"</formula1>
      <formula2>0</formula2>
    </dataValidation>
  </dataValidations>
  <pageMargins left="0.75" right="0.75" top="1" bottom="1" header="0.511811023622047" footer="0.511811023622047"/>
  <pageSetup fitToHeight="0" orientation="landscape" horizontalDpi="300" verticalDpi="300"/>
  <headerFooter>
    <oddHeader>&amp;R&amp;"Aptos"&amp;11&amp;K000000 TUNI Luottamuksellinen - Confidential (3Y)&amp;1#_x000D_</oddHeader>
  </headerFooter>
  <extLst>
    <ext xmlns:x14="http://schemas.microsoft.com/office/spreadsheetml/2009/9/main" uri="{CCE6A557-97BC-4b89-ADB6-D9C93CAAB3DF}">
      <x14:dataValidations xmlns:xm="http://schemas.microsoft.com/office/excel/2006/main" count="1">
        <x14:dataValidation type="list" xr:uid="{00000000-0002-0000-0200-000001000000}">
          <x14:formula1>
            <xm:f>Weeks!$A$2:$A$29</xm:f>
          </x14:formula1>
          <x14:formula2>
            <xm:f>0</xm:f>
          </x14:formula2>
          <xm:sqref>E14:F14 E2:F13 E15:F19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G16"/>
  <sheetViews>
    <sheetView showGridLines="0" zoomScale="142" zoomScaleNormal="100" workbookViewId="0">
      <pane xSplit="2" ySplit="3" topLeftCell="C4" activePane="bottomRight" state="frozen"/>
      <selection pane="topRight" activeCell="C1" sqref="C1"/>
      <selection pane="bottomLeft" activeCell="A4" sqref="A4"/>
      <selection pane="bottomRight" activeCell="P12" sqref="P12"/>
    </sheetView>
  </sheetViews>
  <sheetFormatPr baseColWidth="10" defaultColWidth="8.6640625" defaultRowHeight="15" x14ac:dyDescent="0.2"/>
  <cols>
    <col min="1" max="1" width="6" customWidth="1"/>
    <col min="2" max="2" width="33.5" customWidth="1"/>
    <col min="3" max="9" width="4.1640625" customWidth="1"/>
    <col min="10" max="10" width="3" customWidth="1"/>
    <col min="11" max="11" width="1.6640625" hidden="1" customWidth="1"/>
    <col min="12" max="13" width="0.1640625" hidden="1" customWidth="1"/>
    <col min="14" max="27" width="4.1640625" customWidth="1"/>
    <col min="28" max="28" width="6.1640625" customWidth="1"/>
    <col min="29" max="29" width="4.1640625" hidden="1" customWidth="1"/>
    <col min="30" max="30" width="4.33203125" customWidth="1"/>
    <col min="31" max="31" width="6.83203125" customWidth="1"/>
    <col min="32" max="32" width="14.1640625" customWidth="1"/>
    <col min="33" max="33" width="10.5" customWidth="1"/>
  </cols>
  <sheetData>
    <row r="1" spans="1:33" ht="27.75" customHeight="1" x14ac:dyDescent="0.2">
      <c r="A1" s="6" t="s">
        <v>112</v>
      </c>
      <c r="B1" s="6" t="s">
        <v>169</v>
      </c>
      <c r="C1" s="14" t="str">
        <f>Weeks!A2</f>
        <v>W43/2026</v>
      </c>
      <c r="D1" s="14" t="str">
        <f>Weeks!A3</f>
        <v>W44/2026</v>
      </c>
      <c r="E1" s="14" t="str">
        <f>Weeks!A4</f>
        <v>W45/2026</v>
      </c>
      <c r="F1" s="14" t="str">
        <f>Weeks!A5</f>
        <v>W46/2026</v>
      </c>
      <c r="G1" s="14" t="str">
        <f>Weeks!A6</f>
        <v>W47/2026</v>
      </c>
      <c r="H1" s="14" t="str">
        <f>Weeks!A7</f>
        <v>W48/2026</v>
      </c>
      <c r="I1" s="14" t="str">
        <f>Weeks!A8</f>
        <v>W49/2026</v>
      </c>
      <c r="J1" s="14" t="str">
        <f>Weeks!A9</f>
        <v>W50/2026</v>
      </c>
      <c r="K1" s="14" t="str">
        <f>Weeks!A10</f>
        <v>W51/2026</v>
      </c>
      <c r="L1" s="14" t="str">
        <f>Weeks!A11</f>
        <v>W52/2026</v>
      </c>
      <c r="M1" s="14" t="str">
        <f>Weeks!A12</f>
        <v>W01/2027</v>
      </c>
      <c r="N1" s="15" t="str">
        <f>Weeks!A13</f>
        <v>W02/2027</v>
      </c>
      <c r="O1" s="14" t="str">
        <f>Weeks!A14</f>
        <v>W03/2027</v>
      </c>
      <c r="P1" s="14" t="str">
        <f>Weeks!A15</f>
        <v>W04/2027</v>
      </c>
      <c r="Q1" s="14" t="str">
        <f>Weeks!A16</f>
        <v>W05/2027</v>
      </c>
      <c r="R1" s="14" t="str">
        <f>Weeks!A17</f>
        <v>W06/2027</v>
      </c>
      <c r="S1" s="14" t="str">
        <f>Weeks!A18</f>
        <v>W07/2027</v>
      </c>
      <c r="T1" s="14" t="str">
        <f>Weeks!A19</f>
        <v>W08/2027</v>
      </c>
      <c r="U1" s="15" t="str">
        <f>Weeks!A20</f>
        <v>W09/2027</v>
      </c>
      <c r="V1" s="14" t="str">
        <f>Weeks!A21</f>
        <v>W10/2027</v>
      </c>
      <c r="W1" s="14" t="str">
        <f>Weeks!A22</f>
        <v>W11/2027</v>
      </c>
      <c r="X1" s="14" t="str">
        <f>Weeks!A23</f>
        <v>W12/2027</v>
      </c>
      <c r="Y1" s="14" t="str">
        <f>Weeks!A24</f>
        <v>W13/2027</v>
      </c>
      <c r="Z1" s="14" t="str">
        <f>Weeks!A25</f>
        <v>W14/2027</v>
      </c>
      <c r="AA1" s="14" t="str">
        <f>Weeks!A26</f>
        <v>W15/2027</v>
      </c>
      <c r="AB1" s="14" t="str">
        <f>Weeks!A27</f>
        <v>W16/2027</v>
      </c>
      <c r="AC1" s="14" t="str">
        <f>Weeks!A28</f>
        <v>W17/2027</v>
      </c>
      <c r="AD1" s="14" t="str">
        <f>Weeks!A29</f>
        <v>W18/2027</v>
      </c>
    </row>
    <row r="2" spans="1:33" x14ac:dyDescent="0.2">
      <c r="B2" s="16" t="s">
        <v>170</v>
      </c>
      <c r="C2" s="17">
        <f>Weeks!G2</f>
        <v>1</v>
      </c>
      <c r="D2" s="17">
        <f>Weeks!G3</f>
        <v>2</v>
      </c>
      <c r="E2" s="17">
        <f>Weeks!G4</f>
        <v>3</v>
      </c>
      <c r="F2" s="17">
        <f>Weeks!G5</f>
        <v>4</v>
      </c>
      <c r="G2" s="17">
        <f>Weeks!G6</f>
        <v>5</v>
      </c>
      <c r="H2" s="17">
        <f>Weeks!G7</f>
        <v>6</v>
      </c>
      <c r="I2" s="17">
        <f>Weeks!G8</f>
        <v>7</v>
      </c>
      <c r="J2" s="17" t="str">
        <f>Weeks!G9</f>
        <v/>
      </c>
      <c r="K2" s="17" t="str">
        <f>Weeks!G10</f>
        <v/>
      </c>
      <c r="L2" s="17" t="str">
        <f>Weeks!G11</f>
        <v/>
      </c>
      <c r="M2" s="17" t="str">
        <f>Weeks!G12</f>
        <v/>
      </c>
      <c r="N2" s="18">
        <f>Weeks!G13</f>
        <v>8</v>
      </c>
      <c r="O2" s="17">
        <f>Weeks!G14</f>
        <v>9</v>
      </c>
      <c r="P2" s="17">
        <f>Weeks!G15</f>
        <v>10</v>
      </c>
      <c r="Q2" s="17">
        <f>Weeks!G16</f>
        <v>11</v>
      </c>
      <c r="R2" s="17">
        <f>Weeks!G17</f>
        <v>12</v>
      </c>
      <c r="S2" s="17">
        <f>Weeks!G18</f>
        <v>13</v>
      </c>
      <c r="T2" s="17" t="str">
        <f>Weeks!G19</f>
        <v/>
      </c>
      <c r="U2" s="18">
        <f>Weeks!G20</f>
        <v>14</v>
      </c>
      <c r="V2" s="17">
        <f>Weeks!G21</f>
        <v>15</v>
      </c>
      <c r="W2" s="17">
        <f>Weeks!G22</f>
        <v>16</v>
      </c>
      <c r="X2" s="17">
        <f>Weeks!G23</f>
        <v>17</v>
      </c>
      <c r="Y2" s="17">
        <f>Weeks!G24</f>
        <v>18</v>
      </c>
      <c r="Z2" s="17">
        <f>Weeks!G25</f>
        <v>19</v>
      </c>
      <c r="AA2" s="17">
        <f>Weeks!G26</f>
        <v>20</v>
      </c>
      <c r="AB2" s="17">
        <f>Weeks!G27</f>
        <v>21</v>
      </c>
      <c r="AC2" s="17" t="str">
        <f>Weeks!G28</f>
        <v/>
      </c>
      <c r="AD2" s="17" t="str">
        <f>Weeks!G29</f>
        <v/>
      </c>
    </row>
    <row r="3" spans="1:33" x14ac:dyDescent="0.2">
      <c r="B3" s="19" t="s">
        <v>171</v>
      </c>
      <c r="C3" s="20" t="str">
        <f>Weeks!B2</f>
        <v>2026-10-19</v>
      </c>
      <c r="D3" s="20" t="str">
        <f>Weeks!B3</f>
        <v>2026-10-26</v>
      </c>
      <c r="E3" s="20" t="str">
        <f>Weeks!B4</f>
        <v>2026-11-02</v>
      </c>
      <c r="F3" s="20" t="str">
        <f>Weeks!B5</f>
        <v>2026-11-09</v>
      </c>
      <c r="G3" s="20" t="str">
        <f>Weeks!B6</f>
        <v>2026-11-16</v>
      </c>
      <c r="H3" s="20" t="str">
        <f>Weeks!B7</f>
        <v>2026-11-23</v>
      </c>
      <c r="I3" s="20" t="str">
        <f>Weeks!B8</f>
        <v>2026-11-30</v>
      </c>
      <c r="J3" s="20" t="str">
        <f>Weeks!B9</f>
        <v>2026-12-07</v>
      </c>
      <c r="K3" s="20" t="str">
        <f>Weeks!B10</f>
        <v>2026-12-14</v>
      </c>
      <c r="L3" s="20" t="str">
        <f>Weeks!B11</f>
        <v>2026-12-21</v>
      </c>
      <c r="M3" s="20" t="str">
        <f>Weeks!B12</f>
        <v>2027-01-04</v>
      </c>
      <c r="N3" s="21" t="str">
        <f>Weeks!B13</f>
        <v>2027-01-11</v>
      </c>
      <c r="O3" s="20" t="str">
        <f>Weeks!B14</f>
        <v>2027-01-18</v>
      </c>
      <c r="P3" s="20" t="str">
        <f>Weeks!B15</f>
        <v>2027-01-25</v>
      </c>
      <c r="Q3" s="20" t="str">
        <f>Weeks!B16</f>
        <v>2027-02-01</v>
      </c>
      <c r="R3" s="20" t="str">
        <f>Weeks!B17</f>
        <v>2027-02-08</v>
      </c>
      <c r="S3" s="20" t="str">
        <f>Weeks!B18</f>
        <v>2027-02-15</v>
      </c>
      <c r="T3" s="20" t="str">
        <f>Weeks!B19</f>
        <v>2027-02-22</v>
      </c>
      <c r="U3" s="21" t="str">
        <f>Weeks!B20</f>
        <v>2027-03-01</v>
      </c>
      <c r="V3" s="20" t="str">
        <f>Weeks!B21</f>
        <v>2027-03-08</v>
      </c>
      <c r="W3" s="20" t="str">
        <f>Weeks!B22</f>
        <v>2027-03-15</v>
      </c>
      <c r="X3" s="20" t="str">
        <f>Weeks!B23</f>
        <v>2027-03-22</v>
      </c>
      <c r="Y3" s="20" t="str">
        <f>Weeks!B24</f>
        <v>2027-03-29</v>
      </c>
      <c r="Z3" s="20" t="str">
        <f>Weeks!B25</f>
        <v>2027-04-05</v>
      </c>
      <c r="AA3" s="20" t="str">
        <f>Weeks!B26</f>
        <v>2027-04-12</v>
      </c>
      <c r="AB3" s="20" t="str">
        <f>Weeks!B27</f>
        <v>2027-04-19</v>
      </c>
      <c r="AC3" s="20" t="str">
        <f>Weeks!B28</f>
        <v>2027-04-26</v>
      </c>
      <c r="AD3" s="20" t="str">
        <f>Weeks!B29</f>
        <v>2027-05-03</v>
      </c>
    </row>
    <row r="4" spans="1:33" s="27" customFormat="1" ht="21" customHeight="1" x14ac:dyDescent="0.2">
      <c r="A4" s="25" t="str">
        <f>Tasks!A2</f>
        <v>T1</v>
      </c>
      <c r="B4" s="22" t="str">
        <f>Tasks!B2&amp;" ("&amp;Tasks!C2&amp;")"</f>
        <v>Kickoff and background research (Whole team)</v>
      </c>
      <c r="C4" s="23">
        <f>IF(AND(C$3&gt;=$AE4,C$3&lt;=$AF4),IF($AG4="Deliverable",$A4,C$2),"")</f>
        <v>1</v>
      </c>
      <c r="D4" s="23">
        <f t="shared" ref="C4:L12" si="0">IF(AND(D$3&gt;=$AE4,D$3&lt;=$AF4),IF($AG4="Deliverable",$A4,D$2),"")</f>
        <v>2</v>
      </c>
      <c r="E4" s="23" t="str">
        <f t="shared" si="0"/>
        <v/>
      </c>
      <c r="F4" s="23" t="str">
        <f t="shared" si="0"/>
        <v/>
      </c>
      <c r="G4" s="23" t="str">
        <f t="shared" si="0"/>
        <v/>
      </c>
      <c r="H4" s="23" t="str">
        <f t="shared" si="0"/>
        <v/>
      </c>
      <c r="I4" s="23" t="str">
        <f t="shared" si="0"/>
        <v/>
      </c>
      <c r="J4" s="23" t="str">
        <f t="shared" si="0"/>
        <v/>
      </c>
      <c r="K4" s="23" t="str">
        <f t="shared" si="0"/>
        <v/>
      </c>
      <c r="L4" s="23" t="str">
        <f t="shared" si="0"/>
        <v/>
      </c>
      <c r="M4" s="23" t="str">
        <f t="shared" ref="M4:V12" si="1">IF(AND(M$3&gt;=$AE4,M$3&lt;=$AF4),IF($AG4="Deliverable",$A4,M$2),"")</f>
        <v/>
      </c>
      <c r="N4" s="24" t="str">
        <f t="shared" si="1"/>
        <v/>
      </c>
      <c r="O4" s="23" t="str">
        <f t="shared" si="1"/>
        <v/>
      </c>
      <c r="P4" s="23" t="str">
        <f t="shared" si="1"/>
        <v/>
      </c>
      <c r="Q4" s="23" t="str">
        <f t="shared" si="1"/>
        <v/>
      </c>
      <c r="R4" s="23" t="str">
        <f t="shared" si="1"/>
        <v/>
      </c>
      <c r="S4" s="23" t="str">
        <f t="shared" si="1"/>
        <v/>
      </c>
      <c r="T4" s="23" t="str">
        <f t="shared" si="1"/>
        <v/>
      </c>
      <c r="U4" s="24" t="str">
        <f t="shared" si="1"/>
        <v/>
      </c>
      <c r="V4" s="23" t="str">
        <f t="shared" si="1"/>
        <v/>
      </c>
      <c r="W4" s="23" t="str">
        <f t="shared" ref="W4:AD12" si="2">IF(AND(W$3&gt;=$AE4,W$3&lt;=$AF4),IF($AG4="Deliverable",$A4,W$2),"")</f>
        <v/>
      </c>
      <c r="X4" s="23" t="str">
        <f t="shared" si="2"/>
        <v/>
      </c>
      <c r="Y4" s="23" t="str">
        <f t="shared" si="2"/>
        <v/>
      </c>
      <c r="Z4" s="23" t="str">
        <f t="shared" si="2"/>
        <v/>
      </c>
      <c r="AA4" s="23" t="str">
        <f t="shared" si="2"/>
        <v/>
      </c>
      <c r="AB4" s="23" t="str">
        <f t="shared" si="2"/>
        <v/>
      </c>
      <c r="AC4" s="23" t="str">
        <f t="shared" si="2"/>
        <v/>
      </c>
      <c r="AD4" s="23" t="str">
        <f t="shared" si="2"/>
        <v/>
      </c>
      <c r="AE4" s="26" t="str">
        <f>Tasks!H2</f>
        <v>2026-10-19</v>
      </c>
      <c r="AF4" s="26" t="str">
        <f>Tasks!I2</f>
        <v>2026-11-01</v>
      </c>
      <c r="AG4" s="27" t="str">
        <f>Tasks!D2</f>
        <v>Task</v>
      </c>
    </row>
    <row r="5" spans="1:33" s="27" customFormat="1" ht="21" customHeight="1" x14ac:dyDescent="0.2">
      <c r="A5" s="25" t="str">
        <f>Tasks!A3</f>
        <v>T2</v>
      </c>
      <c r="B5" s="22" t="str">
        <f>Tasks!B3&amp;" ("&amp;Tasks!C3&amp;")"</f>
        <v>Detailed literature review (Author A)</v>
      </c>
      <c r="C5" s="23" t="str">
        <f t="shared" si="0"/>
        <v/>
      </c>
      <c r="D5" s="23">
        <f t="shared" si="0"/>
        <v>2</v>
      </c>
      <c r="E5" s="23">
        <f t="shared" si="0"/>
        <v>3</v>
      </c>
      <c r="F5" s="23">
        <f t="shared" si="0"/>
        <v>4</v>
      </c>
      <c r="G5" s="23">
        <f t="shared" si="0"/>
        <v>5</v>
      </c>
      <c r="H5" s="23" t="str">
        <f t="shared" si="0"/>
        <v/>
      </c>
      <c r="I5" s="23" t="str">
        <f t="shared" si="0"/>
        <v/>
      </c>
      <c r="J5" s="23" t="str">
        <f t="shared" si="0"/>
        <v/>
      </c>
      <c r="K5" s="23" t="str">
        <f t="shared" si="0"/>
        <v/>
      </c>
      <c r="L5" s="23" t="str">
        <f t="shared" si="0"/>
        <v/>
      </c>
      <c r="M5" s="23" t="str">
        <f t="shared" si="1"/>
        <v/>
      </c>
      <c r="N5" s="24" t="str">
        <f t="shared" si="1"/>
        <v/>
      </c>
      <c r="O5" s="23" t="str">
        <f t="shared" si="1"/>
        <v/>
      </c>
      <c r="P5" s="23" t="str">
        <f t="shared" si="1"/>
        <v/>
      </c>
      <c r="Q5" s="23" t="str">
        <f t="shared" si="1"/>
        <v/>
      </c>
      <c r="R5" s="23" t="str">
        <f t="shared" si="1"/>
        <v/>
      </c>
      <c r="S5" s="23" t="str">
        <f t="shared" si="1"/>
        <v/>
      </c>
      <c r="T5" s="23" t="str">
        <f t="shared" si="1"/>
        <v/>
      </c>
      <c r="U5" s="24" t="str">
        <f t="shared" si="1"/>
        <v/>
      </c>
      <c r="V5" s="23" t="str">
        <f t="shared" si="1"/>
        <v/>
      </c>
      <c r="W5" s="23" t="str">
        <f t="shared" si="2"/>
        <v/>
      </c>
      <c r="X5" s="23" t="str">
        <f t="shared" si="2"/>
        <v/>
      </c>
      <c r="Y5" s="23" t="str">
        <f t="shared" si="2"/>
        <v/>
      </c>
      <c r="Z5" s="23" t="str">
        <f t="shared" si="2"/>
        <v/>
      </c>
      <c r="AA5" s="23" t="str">
        <f t="shared" si="2"/>
        <v/>
      </c>
      <c r="AB5" s="23" t="str">
        <f t="shared" si="2"/>
        <v/>
      </c>
      <c r="AC5" s="23" t="str">
        <f t="shared" si="2"/>
        <v/>
      </c>
      <c r="AD5" s="23" t="str">
        <f t="shared" si="2"/>
        <v/>
      </c>
      <c r="AE5" s="26" t="str">
        <f>Tasks!H3</f>
        <v>2026-10-26</v>
      </c>
      <c r="AF5" s="26" t="str">
        <f>Tasks!I3</f>
        <v>2026-11-22</v>
      </c>
      <c r="AG5" s="27" t="str">
        <f>Tasks!D3</f>
        <v>Task</v>
      </c>
    </row>
    <row r="6" spans="1:33" s="27" customFormat="1" ht="21" customHeight="1" x14ac:dyDescent="0.2">
      <c r="A6" s="25" t="str">
        <f>Tasks!A4</f>
        <v>D1</v>
      </c>
      <c r="B6" s="22" t="str">
        <f>Tasks!B4&amp;" ("&amp;Tasks!C4&amp;")"</f>
        <v>Return of preliminary project plan (Whole team)</v>
      </c>
      <c r="C6" s="23" t="str">
        <f t="shared" si="0"/>
        <v/>
      </c>
      <c r="D6" s="23" t="str">
        <f t="shared" si="0"/>
        <v/>
      </c>
      <c r="E6" s="23" t="str">
        <f t="shared" si="0"/>
        <v/>
      </c>
      <c r="F6" s="23" t="str">
        <f t="shared" si="0"/>
        <v/>
      </c>
      <c r="G6" s="23" t="str">
        <f t="shared" si="0"/>
        <v>D1</v>
      </c>
      <c r="H6" s="23" t="str">
        <f t="shared" si="0"/>
        <v/>
      </c>
      <c r="I6" s="23" t="str">
        <f t="shared" si="0"/>
        <v/>
      </c>
      <c r="J6" s="23" t="str">
        <f t="shared" si="0"/>
        <v/>
      </c>
      <c r="K6" s="23" t="str">
        <f t="shared" si="0"/>
        <v/>
      </c>
      <c r="L6" s="23" t="str">
        <f t="shared" si="0"/>
        <v/>
      </c>
      <c r="M6" s="23" t="str">
        <f t="shared" si="1"/>
        <v/>
      </c>
      <c r="N6" s="24" t="str">
        <f t="shared" si="1"/>
        <v/>
      </c>
      <c r="O6" s="23" t="str">
        <f t="shared" si="1"/>
        <v/>
      </c>
      <c r="P6" s="23" t="str">
        <f t="shared" si="1"/>
        <v/>
      </c>
      <c r="Q6" s="23" t="str">
        <f t="shared" si="1"/>
        <v/>
      </c>
      <c r="R6" s="23" t="str">
        <f t="shared" si="1"/>
        <v/>
      </c>
      <c r="S6" s="23" t="str">
        <f t="shared" si="1"/>
        <v/>
      </c>
      <c r="T6" s="23" t="str">
        <f t="shared" si="1"/>
        <v/>
      </c>
      <c r="U6" s="24" t="str">
        <f t="shared" si="1"/>
        <v/>
      </c>
      <c r="V6" s="23" t="str">
        <f t="shared" si="1"/>
        <v/>
      </c>
      <c r="W6" s="23" t="str">
        <f t="shared" si="2"/>
        <v/>
      </c>
      <c r="X6" s="23" t="str">
        <f t="shared" si="2"/>
        <v/>
      </c>
      <c r="Y6" s="23" t="str">
        <f t="shared" si="2"/>
        <v/>
      </c>
      <c r="Z6" s="23" t="str">
        <f t="shared" si="2"/>
        <v/>
      </c>
      <c r="AA6" s="23" t="str">
        <f t="shared" si="2"/>
        <v/>
      </c>
      <c r="AB6" s="23" t="str">
        <f t="shared" si="2"/>
        <v/>
      </c>
      <c r="AC6" s="23" t="str">
        <f t="shared" si="2"/>
        <v/>
      </c>
      <c r="AD6" s="23" t="str">
        <f t="shared" si="2"/>
        <v/>
      </c>
      <c r="AE6" s="26" t="str">
        <f>Tasks!H4</f>
        <v>2026-11-16</v>
      </c>
      <c r="AF6" s="26" t="str">
        <f>Tasks!I4</f>
        <v>2026-11-22</v>
      </c>
      <c r="AG6" s="27" t="str">
        <f>Tasks!D4</f>
        <v>Deliverable</v>
      </c>
    </row>
    <row r="7" spans="1:33" s="27" customFormat="1" ht="21" customHeight="1" x14ac:dyDescent="0.2">
      <c r="A7" s="25" t="str">
        <f>Tasks!A5</f>
        <v>T3</v>
      </c>
      <c r="B7" s="22" t="str">
        <f>Tasks!B5&amp;" ("&amp;Tasks!C5&amp;")"</f>
        <v>Method / experimental design (Author B)</v>
      </c>
      <c r="C7" s="23" t="str">
        <f t="shared" si="0"/>
        <v/>
      </c>
      <c r="D7" s="23" t="str">
        <f t="shared" si="0"/>
        <v/>
      </c>
      <c r="E7" s="23" t="str">
        <f t="shared" si="0"/>
        <v/>
      </c>
      <c r="F7" s="23" t="str">
        <f t="shared" si="0"/>
        <v/>
      </c>
      <c r="G7" s="23">
        <f t="shared" si="0"/>
        <v>5</v>
      </c>
      <c r="H7" s="23">
        <f t="shared" si="0"/>
        <v>6</v>
      </c>
      <c r="I7" s="23">
        <f t="shared" si="0"/>
        <v>7</v>
      </c>
      <c r="J7" s="23" t="str">
        <f t="shared" si="0"/>
        <v/>
      </c>
      <c r="K7" s="23" t="str">
        <f t="shared" si="0"/>
        <v/>
      </c>
      <c r="L7" s="23" t="str">
        <f t="shared" si="0"/>
        <v/>
      </c>
      <c r="M7" s="23" t="str">
        <f t="shared" si="1"/>
        <v/>
      </c>
      <c r="N7" s="24" t="str">
        <f t="shared" si="1"/>
        <v/>
      </c>
      <c r="O7" s="23" t="str">
        <f t="shared" si="1"/>
        <v/>
      </c>
      <c r="P7" s="23" t="str">
        <f t="shared" si="1"/>
        <v/>
      </c>
      <c r="Q7" s="23" t="str">
        <f t="shared" si="1"/>
        <v/>
      </c>
      <c r="R7" s="23" t="str">
        <f t="shared" si="1"/>
        <v/>
      </c>
      <c r="S7" s="23" t="str">
        <f t="shared" si="1"/>
        <v/>
      </c>
      <c r="T7" s="23" t="str">
        <f t="shared" si="1"/>
        <v/>
      </c>
      <c r="U7" s="24" t="str">
        <f t="shared" si="1"/>
        <v/>
      </c>
      <c r="V7" s="23" t="str">
        <f t="shared" si="1"/>
        <v/>
      </c>
      <c r="W7" s="23" t="str">
        <f t="shared" si="2"/>
        <v/>
      </c>
      <c r="X7" s="23" t="str">
        <f t="shared" si="2"/>
        <v/>
      </c>
      <c r="Y7" s="23" t="str">
        <f t="shared" si="2"/>
        <v/>
      </c>
      <c r="Z7" s="23" t="str">
        <f t="shared" si="2"/>
        <v/>
      </c>
      <c r="AA7" s="23" t="str">
        <f t="shared" si="2"/>
        <v/>
      </c>
      <c r="AB7" s="23" t="str">
        <f t="shared" si="2"/>
        <v/>
      </c>
      <c r="AC7" s="23" t="str">
        <f t="shared" si="2"/>
        <v/>
      </c>
      <c r="AD7" s="23" t="str">
        <f t="shared" si="2"/>
        <v/>
      </c>
      <c r="AE7" s="26" t="str">
        <f>Tasks!H5</f>
        <v>2026-11-16</v>
      </c>
      <c r="AF7" s="26" t="str">
        <f>Tasks!I5</f>
        <v>2026-12-06</v>
      </c>
      <c r="AG7" s="27" t="str">
        <f>Tasks!D5</f>
        <v>Task</v>
      </c>
    </row>
    <row r="8" spans="1:33" s="27" customFormat="1" ht="21" customHeight="1" x14ac:dyDescent="0.2">
      <c r="A8" s="25" t="str">
        <f>Tasks!A6</f>
        <v>D2</v>
      </c>
      <c r="B8" s="22" t="str">
        <f>Tasks!B6&amp;" ("&amp;Tasks!C6&amp;")"</f>
        <v>Return of final project plan (Whole team)</v>
      </c>
      <c r="C8" s="23" t="str">
        <f t="shared" si="0"/>
        <v/>
      </c>
      <c r="D8" s="23" t="str">
        <f t="shared" si="0"/>
        <v/>
      </c>
      <c r="E8" s="23" t="str">
        <f t="shared" si="0"/>
        <v/>
      </c>
      <c r="F8" s="23" t="str">
        <f t="shared" si="0"/>
        <v/>
      </c>
      <c r="G8" s="23" t="str">
        <f t="shared" si="0"/>
        <v/>
      </c>
      <c r="H8" s="23" t="str">
        <f t="shared" si="0"/>
        <v/>
      </c>
      <c r="I8" s="23" t="str">
        <f t="shared" si="0"/>
        <v>D2</v>
      </c>
      <c r="J8" s="23" t="str">
        <f t="shared" si="0"/>
        <v/>
      </c>
      <c r="K8" s="23" t="str">
        <f t="shared" si="0"/>
        <v/>
      </c>
      <c r="L8" s="23" t="str">
        <f t="shared" si="0"/>
        <v/>
      </c>
      <c r="M8" s="23" t="str">
        <f t="shared" si="1"/>
        <v/>
      </c>
      <c r="N8" s="24" t="str">
        <f t="shared" si="1"/>
        <v/>
      </c>
      <c r="O8" s="23" t="str">
        <f t="shared" si="1"/>
        <v/>
      </c>
      <c r="P8" s="23" t="str">
        <f t="shared" si="1"/>
        <v/>
      </c>
      <c r="Q8" s="23" t="str">
        <f t="shared" si="1"/>
        <v/>
      </c>
      <c r="R8" s="23" t="str">
        <f t="shared" si="1"/>
        <v/>
      </c>
      <c r="S8" s="23" t="str">
        <f t="shared" si="1"/>
        <v/>
      </c>
      <c r="T8" s="23" t="str">
        <f t="shared" si="1"/>
        <v/>
      </c>
      <c r="U8" s="24" t="str">
        <f t="shared" si="1"/>
        <v/>
      </c>
      <c r="V8" s="23" t="str">
        <f t="shared" si="1"/>
        <v/>
      </c>
      <c r="W8" s="23" t="str">
        <f t="shared" si="2"/>
        <v/>
      </c>
      <c r="X8" s="23" t="str">
        <f t="shared" si="2"/>
        <v/>
      </c>
      <c r="Y8" s="23" t="str">
        <f t="shared" si="2"/>
        <v/>
      </c>
      <c r="Z8" s="23" t="str">
        <f t="shared" si="2"/>
        <v/>
      </c>
      <c r="AA8" s="23" t="str">
        <f t="shared" si="2"/>
        <v/>
      </c>
      <c r="AB8" s="23" t="str">
        <f t="shared" si="2"/>
        <v/>
      </c>
      <c r="AC8" s="23" t="str">
        <f t="shared" si="2"/>
        <v/>
      </c>
      <c r="AD8" s="23" t="str">
        <f t="shared" si="2"/>
        <v/>
      </c>
      <c r="AE8" s="26" t="str">
        <f>Tasks!H6</f>
        <v>2026-11-30</v>
      </c>
      <c r="AF8" s="26" t="str">
        <f>Tasks!I6</f>
        <v>2026-12-06</v>
      </c>
      <c r="AG8" s="27" t="str">
        <f>Tasks!D6</f>
        <v>Deliverable</v>
      </c>
    </row>
    <row r="9" spans="1:33" s="27" customFormat="1" ht="21" customHeight="1" x14ac:dyDescent="0.2">
      <c r="A9" s="25" t="str">
        <f>Tasks!A7</f>
        <v>T4</v>
      </c>
      <c r="B9" s="22" t="str">
        <f>Tasks!B7&amp;" ("&amp;Tasks!C7&amp;")"</f>
        <v>Data collection / simulations (Whole team)</v>
      </c>
      <c r="C9" s="23" t="str">
        <f t="shared" si="0"/>
        <v/>
      </c>
      <c r="D9" s="23" t="str">
        <f t="shared" si="0"/>
        <v/>
      </c>
      <c r="E9" s="23" t="str">
        <f t="shared" si="0"/>
        <v/>
      </c>
      <c r="F9" s="23" t="str">
        <f t="shared" si="0"/>
        <v/>
      </c>
      <c r="G9" s="23" t="str">
        <f t="shared" si="0"/>
        <v/>
      </c>
      <c r="H9" s="23" t="str">
        <f t="shared" si="0"/>
        <v/>
      </c>
      <c r="I9" s="23" t="str">
        <f t="shared" si="0"/>
        <v/>
      </c>
      <c r="J9" s="23" t="str">
        <f t="shared" si="0"/>
        <v/>
      </c>
      <c r="K9" s="23" t="str">
        <f t="shared" si="0"/>
        <v/>
      </c>
      <c r="L9" s="23" t="str">
        <f t="shared" si="0"/>
        <v/>
      </c>
      <c r="M9" s="23" t="str">
        <f t="shared" si="1"/>
        <v/>
      </c>
      <c r="N9" s="24">
        <f t="shared" si="1"/>
        <v>8</v>
      </c>
      <c r="O9" s="23">
        <f t="shared" si="1"/>
        <v>9</v>
      </c>
      <c r="P9" s="23">
        <f t="shared" si="1"/>
        <v>10</v>
      </c>
      <c r="Q9" s="23">
        <f t="shared" si="1"/>
        <v>11</v>
      </c>
      <c r="R9" s="23" t="str">
        <f t="shared" si="1"/>
        <v/>
      </c>
      <c r="S9" s="23" t="str">
        <f t="shared" si="1"/>
        <v/>
      </c>
      <c r="T9" s="23" t="str">
        <f t="shared" si="1"/>
        <v/>
      </c>
      <c r="U9" s="24" t="str">
        <f t="shared" si="1"/>
        <v/>
      </c>
      <c r="V9" s="23" t="str">
        <f t="shared" si="1"/>
        <v/>
      </c>
      <c r="W9" s="23" t="str">
        <f t="shared" si="2"/>
        <v/>
      </c>
      <c r="X9" s="23" t="str">
        <f t="shared" si="2"/>
        <v/>
      </c>
      <c r="Y9" s="23" t="str">
        <f t="shared" si="2"/>
        <v/>
      </c>
      <c r="Z9" s="23" t="str">
        <f t="shared" si="2"/>
        <v/>
      </c>
      <c r="AA9" s="23" t="str">
        <f t="shared" si="2"/>
        <v/>
      </c>
      <c r="AB9" s="23" t="str">
        <f t="shared" si="2"/>
        <v/>
      </c>
      <c r="AC9" s="23" t="str">
        <f t="shared" si="2"/>
        <v/>
      </c>
      <c r="AD9" s="23" t="str">
        <f t="shared" si="2"/>
        <v/>
      </c>
      <c r="AE9" s="26" t="str">
        <f>Tasks!H7</f>
        <v>2027-01-11</v>
      </c>
      <c r="AF9" s="26" t="str">
        <f>Tasks!I7</f>
        <v>2027-02-07</v>
      </c>
      <c r="AG9" s="27" t="str">
        <f>Tasks!D7</f>
        <v>Task</v>
      </c>
    </row>
    <row r="10" spans="1:33" s="27" customFormat="1" ht="21" customHeight="1" x14ac:dyDescent="0.2">
      <c r="A10" s="25" t="str">
        <f>Tasks!A8</f>
        <v>T5</v>
      </c>
      <c r="B10" s="22" t="str">
        <f>Tasks!B8&amp;" ("&amp;Tasks!C8&amp;")"</f>
        <v>Interim review meeting (Whole team)</v>
      </c>
      <c r="C10" s="23" t="str">
        <f t="shared" si="0"/>
        <v/>
      </c>
      <c r="D10" s="23" t="str">
        <f t="shared" si="0"/>
        <v/>
      </c>
      <c r="E10" s="23" t="str">
        <f t="shared" si="0"/>
        <v/>
      </c>
      <c r="F10" s="23" t="str">
        <f t="shared" si="0"/>
        <v/>
      </c>
      <c r="G10" s="23" t="str">
        <f t="shared" si="0"/>
        <v/>
      </c>
      <c r="H10" s="23" t="str">
        <f t="shared" si="0"/>
        <v/>
      </c>
      <c r="I10" s="23" t="str">
        <f t="shared" si="0"/>
        <v/>
      </c>
      <c r="J10" s="23" t="str">
        <f t="shared" si="0"/>
        <v/>
      </c>
      <c r="K10" s="23" t="str">
        <f t="shared" si="0"/>
        <v/>
      </c>
      <c r="L10" s="23" t="str">
        <f t="shared" si="0"/>
        <v/>
      </c>
      <c r="M10" s="23" t="str">
        <f t="shared" si="1"/>
        <v/>
      </c>
      <c r="N10" s="24" t="str">
        <f t="shared" si="1"/>
        <v/>
      </c>
      <c r="O10" s="23" t="str">
        <f t="shared" si="1"/>
        <v/>
      </c>
      <c r="P10" s="23">
        <f t="shared" si="1"/>
        <v>10</v>
      </c>
      <c r="Q10" s="23" t="str">
        <f t="shared" si="1"/>
        <v/>
      </c>
      <c r="R10" s="23" t="str">
        <f t="shared" si="1"/>
        <v/>
      </c>
      <c r="S10" s="23" t="str">
        <f t="shared" si="1"/>
        <v/>
      </c>
      <c r="T10" s="23" t="str">
        <f t="shared" si="1"/>
        <v/>
      </c>
      <c r="U10" s="24" t="str">
        <f t="shared" si="1"/>
        <v/>
      </c>
      <c r="V10" s="23" t="str">
        <f t="shared" si="1"/>
        <v/>
      </c>
      <c r="W10" s="23" t="str">
        <f t="shared" si="2"/>
        <v/>
      </c>
      <c r="X10" s="23" t="str">
        <f t="shared" si="2"/>
        <v/>
      </c>
      <c r="Y10" s="23" t="str">
        <f t="shared" si="2"/>
        <v/>
      </c>
      <c r="Z10" s="23" t="str">
        <f t="shared" si="2"/>
        <v/>
      </c>
      <c r="AA10" s="23" t="str">
        <f t="shared" si="2"/>
        <v/>
      </c>
      <c r="AB10" s="23" t="str">
        <f t="shared" si="2"/>
        <v/>
      </c>
      <c r="AC10" s="23" t="str">
        <f t="shared" si="2"/>
        <v/>
      </c>
      <c r="AD10" s="23" t="str">
        <f t="shared" si="2"/>
        <v/>
      </c>
      <c r="AE10" s="26" t="str">
        <f>Tasks!H8</f>
        <v>2027-01-25</v>
      </c>
      <c r="AF10" s="26" t="str">
        <f>Tasks!I8</f>
        <v>2027-01-31</v>
      </c>
      <c r="AG10" s="27" t="str">
        <f>Tasks!D8</f>
        <v>Milestone</v>
      </c>
    </row>
    <row r="11" spans="1:33" s="27" customFormat="1" ht="21" customHeight="1" x14ac:dyDescent="0.2">
      <c r="A11" s="25" t="str">
        <f>Tasks!A9</f>
        <v>T6</v>
      </c>
      <c r="B11" s="22" t="str">
        <f>Tasks!B9&amp;" ("&amp;Tasks!C9&amp;")"</f>
        <v>Data analysis (Author C)</v>
      </c>
      <c r="C11" s="23" t="str">
        <f t="shared" si="0"/>
        <v/>
      </c>
      <c r="D11" s="23" t="str">
        <f t="shared" si="0"/>
        <v/>
      </c>
      <c r="E11" s="23" t="str">
        <f t="shared" si="0"/>
        <v/>
      </c>
      <c r="F11" s="23" t="str">
        <f t="shared" si="0"/>
        <v/>
      </c>
      <c r="G11" s="23" t="str">
        <f t="shared" si="0"/>
        <v/>
      </c>
      <c r="H11" s="23" t="str">
        <f t="shared" si="0"/>
        <v/>
      </c>
      <c r="I11" s="23" t="str">
        <f t="shared" si="0"/>
        <v/>
      </c>
      <c r="J11" s="23" t="str">
        <f t="shared" si="0"/>
        <v/>
      </c>
      <c r="K11" s="23" t="str">
        <f t="shared" si="0"/>
        <v/>
      </c>
      <c r="L11" s="23" t="str">
        <f t="shared" si="0"/>
        <v/>
      </c>
      <c r="M11" s="23" t="str">
        <f t="shared" si="1"/>
        <v/>
      </c>
      <c r="N11" s="24" t="str">
        <f t="shared" si="1"/>
        <v/>
      </c>
      <c r="O11" s="23" t="str">
        <f t="shared" si="1"/>
        <v/>
      </c>
      <c r="P11" s="23" t="str">
        <f t="shared" si="1"/>
        <v/>
      </c>
      <c r="Q11" s="23" t="str">
        <f t="shared" si="1"/>
        <v/>
      </c>
      <c r="R11" s="23">
        <f t="shared" si="1"/>
        <v>12</v>
      </c>
      <c r="S11" s="23">
        <f t="shared" si="1"/>
        <v>13</v>
      </c>
      <c r="T11" s="23" t="str">
        <f t="shared" si="1"/>
        <v/>
      </c>
      <c r="U11" s="24" t="str">
        <f t="shared" si="1"/>
        <v/>
      </c>
      <c r="V11" s="23" t="str">
        <f t="shared" si="1"/>
        <v/>
      </c>
      <c r="W11" s="23" t="str">
        <f t="shared" si="2"/>
        <v/>
      </c>
      <c r="X11" s="23" t="str">
        <f t="shared" si="2"/>
        <v/>
      </c>
      <c r="Y11" s="23" t="str">
        <f t="shared" si="2"/>
        <v/>
      </c>
      <c r="Z11" s="23" t="str">
        <f t="shared" si="2"/>
        <v/>
      </c>
      <c r="AA11" s="23" t="str">
        <f t="shared" si="2"/>
        <v/>
      </c>
      <c r="AB11" s="23" t="str">
        <f t="shared" si="2"/>
        <v/>
      </c>
      <c r="AC11" s="23" t="str">
        <f t="shared" si="2"/>
        <v/>
      </c>
      <c r="AD11" s="23" t="str">
        <f t="shared" si="2"/>
        <v/>
      </c>
      <c r="AE11" s="26" t="str">
        <f>Tasks!H9</f>
        <v>2027-02-08</v>
      </c>
      <c r="AF11" s="26" t="str">
        <f>Tasks!I9</f>
        <v>2027-02-21</v>
      </c>
      <c r="AG11" s="27" t="str">
        <f>Tasks!D9</f>
        <v>Task</v>
      </c>
    </row>
    <row r="12" spans="1:33" s="27" customFormat="1" ht="21" customHeight="1" x14ac:dyDescent="0.2">
      <c r="A12" s="25" t="str">
        <f>Tasks!A10</f>
        <v>T7</v>
      </c>
      <c r="B12" s="22" t="str">
        <f>Tasks!B10&amp;" ("&amp;Tasks!C10&amp;")"</f>
        <v>Draft report writing (Whole team)</v>
      </c>
      <c r="C12" s="23" t="str">
        <f t="shared" si="0"/>
        <v/>
      </c>
      <c r="D12" s="23" t="str">
        <f t="shared" si="0"/>
        <v/>
      </c>
      <c r="E12" s="23" t="str">
        <f t="shared" si="0"/>
        <v/>
      </c>
      <c r="F12" s="23" t="str">
        <f t="shared" si="0"/>
        <v/>
      </c>
      <c r="G12" s="23" t="str">
        <f t="shared" si="0"/>
        <v/>
      </c>
      <c r="H12" s="23" t="str">
        <f t="shared" si="0"/>
        <v/>
      </c>
      <c r="I12" s="23" t="str">
        <f t="shared" si="0"/>
        <v/>
      </c>
      <c r="J12" s="23" t="str">
        <f t="shared" si="0"/>
        <v/>
      </c>
      <c r="K12" s="23" t="str">
        <f t="shared" si="0"/>
        <v/>
      </c>
      <c r="L12" s="23" t="str">
        <f t="shared" si="0"/>
        <v/>
      </c>
      <c r="M12" s="23" t="str">
        <f t="shared" si="1"/>
        <v/>
      </c>
      <c r="N12" s="24" t="str">
        <f t="shared" si="1"/>
        <v/>
      </c>
      <c r="O12" s="23" t="str">
        <f t="shared" si="1"/>
        <v/>
      </c>
      <c r="P12" s="23" t="str">
        <f t="shared" si="1"/>
        <v/>
      </c>
      <c r="Q12" s="23" t="str">
        <f t="shared" si="1"/>
        <v/>
      </c>
      <c r="R12" s="23" t="str">
        <f t="shared" si="1"/>
        <v/>
      </c>
      <c r="S12" s="23" t="str">
        <f t="shared" si="1"/>
        <v/>
      </c>
      <c r="T12" s="23" t="str">
        <f t="shared" si="1"/>
        <v/>
      </c>
      <c r="U12" s="24">
        <f t="shared" si="1"/>
        <v>14</v>
      </c>
      <c r="V12" s="23">
        <f t="shared" si="1"/>
        <v>15</v>
      </c>
      <c r="W12" s="23">
        <f t="shared" si="2"/>
        <v>16</v>
      </c>
      <c r="X12" s="23" t="str">
        <f t="shared" si="2"/>
        <v/>
      </c>
      <c r="Y12" s="23" t="str">
        <f t="shared" si="2"/>
        <v/>
      </c>
      <c r="Z12" s="23" t="str">
        <f t="shared" si="2"/>
        <v/>
      </c>
      <c r="AA12" s="23" t="str">
        <f t="shared" si="2"/>
        <v/>
      </c>
      <c r="AB12" s="23" t="str">
        <f t="shared" si="2"/>
        <v/>
      </c>
      <c r="AC12" s="23" t="str">
        <f t="shared" si="2"/>
        <v/>
      </c>
      <c r="AD12" s="23" t="str">
        <f t="shared" si="2"/>
        <v/>
      </c>
      <c r="AE12" s="26" t="str">
        <f>Tasks!H10</f>
        <v>2027-03-01</v>
      </c>
      <c r="AF12" s="26" t="str">
        <f>Tasks!I10</f>
        <v>2027-03-21</v>
      </c>
      <c r="AG12" s="27" t="str">
        <f>Tasks!D10</f>
        <v>Task</v>
      </c>
    </row>
    <row r="13" spans="1:33" s="27" customFormat="1" ht="21" customHeight="1" x14ac:dyDescent="0.2">
      <c r="A13" s="25" t="str">
        <f>Tasks!A11</f>
        <v>D3</v>
      </c>
      <c r="B13" s="22" t="str">
        <f>Tasks!B11&amp;" ("&amp;Tasks!C11&amp;")"</f>
        <v>Return of implementation report (Whole team)</v>
      </c>
      <c r="C13" s="23" t="str">
        <f t="shared" ref="C13:L16" si="3">IF(AND(C$3&gt;=$AE13,C$3&lt;=$AF13),IF($AG13="Deliverable",$A13,C$2),"")</f>
        <v/>
      </c>
      <c r="D13" s="23" t="str">
        <f t="shared" si="3"/>
        <v/>
      </c>
      <c r="E13" s="23" t="str">
        <f t="shared" si="3"/>
        <v/>
      </c>
      <c r="F13" s="23" t="str">
        <f t="shared" si="3"/>
        <v/>
      </c>
      <c r="G13" s="23" t="str">
        <f t="shared" si="3"/>
        <v/>
      </c>
      <c r="H13" s="23" t="str">
        <f t="shared" si="3"/>
        <v/>
      </c>
      <c r="I13" s="23" t="str">
        <f t="shared" si="3"/>
        <v/>
      </c>
      <c r="J13" s="23" t="str">
        <f t="shared" si="3"/>
        <v/>
      </c>
      <c r="K13" s="23" t="str">
        <f t="shared" si="3"/>
        <v/>
      </c>
      <c r="L13" s="23" t="str">
        <f t="shared" si="3"/>
        <v/>
      </c>
      <c r="M13" s="23" t="str">
        <f t="shared" ref="M13:V16" si="4">IF(AND(M$3&gt;=$AE13,M$3&lt;=$AF13),IF($AG13="Deliverable",$A13,M$2),"")</f>
        <v/>
      </c>
      <c r="N13" s="24" t="str">
        <f t="shared" si="4"/>
        <v/>
      </c>
      <c r="O13" s="23" t="str">
        <f t="shared" si="4"/>
        <v/>
      </c>
      <c r="P13" s="23" t="str">
        <f t="shared" si="4"/>
        <v/>
      </c>
      <c r="Q13" s="23" t="str">
        <f t="shared" si="4"/>
        <v/>
      </c>
      <c r="R13" s="23" t="str">
        <f t="shared" si="4"/>
        <v/>
      </c>
      <c r="S13" s="23" t="str">
        <f t="shared" si="4"/>
        <v/>
      </c>
      <c r="T13" s="23" t="str">
        <f t="shared" si="4"/>
        <v/>
      </c>
      <c r="U13" s="24" t="str">
        <f t="shared" si="4"/>
        <v/>
      </c>
      <c r="V13" s="23" t="str">
        <f t="shared" si="4"/>
        <v/>
      </c>
      <c r="W13" s="23" t="str">
        <f t="shared" ref="W13:AD16" si="5">IF(AND(W$3&gt;=$AE13,W$3&lt;=$AF13),IF($AG13="Deliverable",$A13,W$2),"")</f>
        <v>D3</v>
      </c>
      <c r="X13" s="23" t="str">
        <f t="shared" si="5"/>
        <v/>
      </c>
      <c r="Y13" s="23" t="str">
        <f t="shared" si="5"/>
        <v/>
      </c>
      <c r="Z13" s="23" t="str">
        <f t="shared" si="5"/>
        <v/>
      </c>
      <c r="AA13" s="23" t="str">
        <f t="shared" si="5"/>
        <v/>
      </c>
      <c r="AB13" s="23" t="str">
        <f t="shared" si="5"/>
        <v/>
      </c>
      <c r="AC13" s="23" t="str">
        <f t="shared" si="5"/>
        <v/>
      </c>
      <c r="AD13" s="23" t="str">
        <f t="shared" si="5"/>
        <v/>
      </c>
      <c r="AE13" s="26" t="str">
        <f>Tasks!H11</f>
        <v>2027-03-15</v>
      </c>
      <c r="AF13" s="26" t="str">
        <f>Tasks!I11</f>
        <v>2027-03-21</v>
      </c>
      <c r="AG13" s="27" t="str">
        <f>Tasks!D11</f>
        <v>Deliverable</v>
      </c>
    </row>
    <row r="14" spans="1:33" s="27" customFormat="1" ht="21" customHeight="1" x14ac:dyDescent="0.2">
      <c r="A14" s="25" t="str">
        <f>Tasks!A12</f>
        <v>T8</v>
      </c>
      <c r="B14" s="22" t="str">
        <f>Tasks!B12&amp;" ("&amp;Tasks!C12&amp;")"</f>
        <v>Prepare presentation (Whole team)</v>
      </c>
      <c r="C14" s="23" t="str">
        <f t="shared" si="3"/>
        <v/>
      </c>
      <c r="D14" s="23" t="str">
        <f t="shared" si="3"/>
        <v/>
      </c>
      <c r="E14" s="23" t="str">
        <f t="shared" si="3"/>
        <v/>
      </c>
      <c r="F14" s="23" t="str">
        <f t="shared" si="3"/>
        <v/>
      </c>
      <c r="G14" s="23" t="str">
        <f t="shared" si="3"/>
        <v/>
      </c>
      <c r="H14" s="23" t="str">
        <f t="shared" si="3"/>
        <v/>
      </c>
      <c r="I14" s="23" t="str">
        <f t="shared" si="3"/>
        <v/>
      </c>
      <c r="J14" s="23" t="str">
        <f t="shared" si="3"/>
        <v/>
      </c>
      <c r="K14" s="23" t="str">
        <f t="shared" si="3"/>
        <v/>
      </c>
      <c r="L14" s="23" t="str">
        <f t="shared" si="3"/>
        <v/>
      </c>
      <c r="M14" s="23" t="str">
        <f t="shared" si="4"/>
        <v/>
      </c>
      <c r="N14" s="24" t="str">
        <f t="shared" si="4"/>
        <v/>
      </c>
      <c r="O14" s="23" t="str">
        <f t="shared" si="4"/>
        <v/>
      </c>
      <c r="P14" s="23" t="str">
        <f t="shared" si="4"/>
        <v/>
      </c>
      <c r="Q14" s="23" t="str">
        <f t="shared" si="4"/>
        <v/>
      </c>
      <c r="R14" s="23" t="str">
        <f t="shared" si="4"/>
        <v/>
      </c>
      <c r="S14" s="23" t="str">
        <f t="shared" si="4"/>
        <v/>
      </c>
      <c r="T14" s="23" t="str">
        <f t="shared" si="4"/>
        <v/>
      </c>
      <c r="U14" s="24" t="str">
        <f t="shared" si="4"/>
        <v/>
      </c>
      <c r="V14" s="23" t="str">
        <f t="shared" si="4"/>
        <v/>
      </c>
      <c r="W14" s="23" t="str">
        <f t="shared" si="5"/>
        <v/>
      </c>
      <c r="X14" s="23">
        <f t="shared" si="5"/>
        <v>17</v>
      </c>
      <c r="Y14" s="23">
        <f t="shared" si="5"/>
        <v>18</v>
      </c>
      <c r="Z14" s="23">
        <f t="shared" si="5"/>
        <v>19</v>
      </c>
      <c r="AA14" s="23" t="str">
        <f t="shared" si="5"/>
        <v/>
      </c>
      <c r="AB14" s="23" t="str">
        <f t="shared" si="5"/>
        <v/>
      </c>
      <c r="AC14" s="23" t="str">
        <f t="shared" si="5"/>
        <v/>
      </c>
      <c r="AD14" s="23" t="str">
        <f t="shared" si="5"/>
        <v/>
      </c>
      <c r="AE14" s="26" t="str">
        <f>Tasks!H12</f>
        <v>2027-03-22</v>
      </c>
      <c r="AF14" s="26" t="str">
        <f>Tasks!I12</f>
        <v>2027-04-11</v>
      </c>
      <c r="AG14" s="27" t="str">
        <f>Tasks!D12</f>
        <v>Task</v>
      </c>
    </row>
    <row r="15" spans="1:33" s="27" customFormat="1" ht="21" customHeight="1" x14ac:dyDescent="0.2">
      <c r="A15" s="25" t="str">
        <f>Tasks!A13</f>
        <v>T9</v>
      </c>
      <c r="B15" s="22" t="str">
        <f>Tasks!B13&amp;" ("&amp;Tasks!C13&amp;")"</f>
        <v>Final report and presentation (Whole team)</v>
      </c>
      <c r="C15" s="23" t="str">
        <f t="shared" si="3"/>
        <v/>
      </c>
      <c r="D15" s="23" t="str">
        <f t="shared" si="3"/>
        <v/>
      </c>
      <c r="E15" s="23" t="str">
        <f t="shared" si="3"/>
        <v/>
      </c>
      <c r="F15" s="23" t="str">
        <f t="shared" si="3"/>
        <v/>
      </c>
      <c r="G15" s="23" t="str">
        <f t="shared" si="3"/>
        <v/>
      </c>
      <c r="H15" s="23" t="str">
        <f t="shared" si="3"/>
        <v/>
      </c>
      <c r="I15" s="23" t="str">
        <f t="shared" si="3"/>
        <v/>
      </c>
      <c r="J15" s="23" t="str">
        <f t="shared" si="3"/>
        <v/>
      </c>
      <c r="K15" s="23" t="str">
        <f t="shared" si="3"/>
        <v/>
      </c>
      <c r="L15" s="23" t="str">
        <f t="shared" si="3"/>
        <v/>
      </c>
      <c r="M15" s="23" t="str">
        <f t="shared" si="4"/>
        <v/>
      </c>
      <c r="N15" s="24" t="str">
        <f t="shared" si="4"/>
        <v/>
      </c>
      <c r="O15" s="23" t="str">
        <f t="shared" si="4"/>
        <v/>
      </c>
      <c r="P15" s="23" t="str">
        <f t="shared" si="4"/>
        <v/>
      </c>
      <c r="Q15" s="23" t="str">
        <f t="shared" si="4"/>
        <v/>
      </c>
      <c r="R15" s="23" t="str">
        <f t="shared" si="4"/>
        <v/>
      </c>
      <c r="S15" s="23" t="str">
        <f t="shared" si="4"/>
        <v/>
      </c>
      <c r="T15" s="23" t="str">
        <f t="shared" si="4"/>
        <v/>
      </c>
      <c r="U15" s="24" t="str">
        <f t="shared" si="4"/>
        <v/>
      </c>
      <c r="V15" s="23" t="str">
        <f t="shared" si="4"/>
        <v/>
      </c>
      <c r="W15" s="23" t="str">
        <f t="shared" si="5"/>
        <v/>
      </c>
      <c r="X15" s="23" t="str">
        <f t="shared" si="5"/>
        <v/>
      </c>
      <c r="Y15" s="23" t="str">
        <f t="shared" si="5"/>
        <v/>
      </c>
      <c r="Z15" s="23">
        <f t="shared" si="5"/>
        <v>19</v>
      </c>
      <c r="AA15" s="23">
        <f t="shared" si="5"/>
        <v>20</v>
      </c>
      <c r="AB15" s="23">
        <f t="shared" si="5"/>
        <v>21</v>
      </c>
      <c r="AC15" s="23" t="str">
        <f t="shared" si="5"/>
        <v/>
      </c>
      <c r="AD15" s="23" t="str">
        <f t="shared" si="5"/>
        <v/>
      </c>
      <c r="AE15" s="26" t="str">
        <f>Tasks!H13</f>
        <v>2027-04-05</v>
      </c>
      <c r="AF15" s="26" t="str">
        <f>Tasks!I13</f>
        <v>2027-04-25</v>
      </c>
      <c r="AG15" s="27" t="str">
        <f>Tasks!D13</f>
        <v>Milestone</v>
      </c>
    </row>
    <row r="16" spans="1:33" s="27" customFormat="1" ht="21" customHeight="1" x14ac:dyDescent="0.2">
      <c r="A16" s="25" t="str">
        <f>Tasks!A14</f>
        <v>D4</v>
      </c>
      <c r="B16" s="22" t="str">
        <f>Tasks!B14&amp;" ("&amp;Tasks!C14&amp;")"</f>
        <v>Return of project presentation (Whole team)</v>
      </c>
      <c r="C16" s="23" t="str">
        <f t="shared" si="3"/>
        <v/>
      </c>
      <c r="D16" s="23" t="str">
        <f t="shared" si="3"/>
        <v/>
      </c>
      <c r="E16" s="23" t="str">
        <f t="shared" si="3"/>
        <v/>
      </c>
      <c r="F16" s="23" t="str">
        <f t="shared" si="3"/>
        <v/>
      </c>
      <c r="G16" s="23" t="str">
        <f t="shared" si="3"/>
        <v/>
      </c>
      <c r="H16" s="23" t="str">
        <f t="shared" si="3"/>
        <v/>
      </c>
      <c r="I16" s="23" t="str">
        <f t="shared" si="3"/>
        <v/>
      </c>
      <c r="J16" s="23" t="str">
        <f t="shared" si="3"/>
        <v/>
      </c>
      <c r="K16" s="23" t="str">
        <f t="shared" si="3"/>
        <v/>
      </c>
      <c r="L16" s="23" t="str">
        <f t="shared" si="3"/>
        <v/>
      </c>
      <c r="M16" s="23" t="str">
        <f t="shared" si="4"/>
        <v/>
      </c>
      <c r="N16" s="24" t="str">
        <f t="shared" si="4"/>
        <v/>
      </c>
      <c r="O16" s="23" t="str">
        <f t="shared" si="4"/>
        <v/>
      </c>
      <c r="P16" s="23" t="str">
        <f t="shared" si="4"/>
        <v/>
      </c>
      <c r="Q16" s="23" t="str">
        <f t="shared" si="4"/>
        <v/>
      </c>
      <c r="R16" s="23" t="str">
        <f t="shared" si="4"/>
        <v/>
      </c>
      <c r="S16" s="23" t="str">
        <f t="shared" si="4"/>
        <v/>
      </c>
      <c r="T16" s="23" t="str">
        <f t="shared" si="4"/>
        <v/>
      </c>
      <c r="U16" s="24" t="str">
        <f t="shared" si="4"/>
        <v/>
      </c>
      <c r="V16" s="23" t="str">
        <f t="shared" si="4"/>
        <v/>
      </c>
      <c r="W16" s="23" t="str">
        <f t="shared" si="5"/>
        <v/>
      </c>
      <c r="X16" s="23" t="str">
        <f t="shared" si="5"/>
        <v/>
      </c>
      <c r="Y16" s="23" t="str">
        <f t="shared" si="5"/>
        <v/>
      </c>
      <c r="Z16" s="23" t="str">
        <f t="shared" si="5"/>
        <v/>
      </c>
      <c r="AA16" s="23" t="str">
        <f t="shared" si="5"/>
        <v/>
      </c>
      <c r="AB16" s="23" t="str">
        <f t="shared" si="5"/>
        <v>D4</v>
      </c>
      <c r="AC16" s="23" t="str">
        <f t="shared" si="5"/>
        <v/>
      </c>
      <c r="AD16" s="23" t="str">
        <f t="shared" si="5"/>
        <v/>
      </c>
      <c r="AE16" s="26" t="str">
        <f>Tasks!H14</f>
        <v>2027-04-19</v>
      </c>
      <c r="AF16" s="26" t="str">
        <f>Tasks!I14</f>
        <v>2027-04-25</v>
      </c>
      <c r="AG16" s="27" t="str">
        <f>Tasks!D14</f>
        <v>Deliverable</v>
      </c>
    </row>
  </sheetData>
  <conditionalFormatting sqref="C1:AD16">
    <cfRule type="expression" dxfId="3" priority="2">
      <formula>C$2=""</formula>
    </cfRule>
  </conditionalFormatting>
  <conditionalFormatting sqref="C4:AD16">
    <cfRule type="expression" dxfId="2" priority="3">
      <formula>AND(C4&lt;&gt;"",$AG4="Task")</formula>
    </cfRule>
    <cfRule type="expression" dxfId="1" priority="4">
      <formula>AND(C4&lt;&gt;"",$AG4="Milestone")</formula>
    </cfRule>
    <cfRule type="expression" dxfId="0" priority="5">
      <formula>AND(C4&lt;&gt;"",$AG4="Deliverable")</formula>
    </cfRule>
  </conditionalFormatting>
  <pageMargins left="0.75" right="0.75" top="1" bottom="1" header="0.511811023622047" footer="0.511811023622047"/>
  <pageSetup fitToHeight="0" orientation="landscape" horizontalDpi="300" verticalDpi="300"/>
  <headerFooter>
    <oddHeader>&amp;R&amp;"Aptos"&amp;11&amp;K000000 TUNI Luottamuksellinen - Confidential (3Y)&amp;1#_x000D_</oddHeader>
  </headerFooter>
</worksheet>
</file>

<file path=docMetadata/LabelInfo.xml><?xml version="1.0" encoding="utf-8"?>
<clbl:labelList xmlns:clbl="http://schemas.microsoft.com/office/2020/mipLabelMetadata">
  <clbl:label id="{74814fa1-1a0b-42d1-967a-caddbf829325}" enabled="1" method="Standard" siteId="{fa6944af-cc7c-4cd8-9154-c01132798910}" contentBits="1" removed="0"/>
</clbl:labelLis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Instructions</vt:lpstr>
      <vt:lpstr>Weeks</vt:lpstr>
      <vt:lpstr>Tasks</vt:lpstr>
      <vt:lpstr>Gantt</vt:lpstr>
      <vt:lpstr>Gantt!Print_Titles</vt:lpstr>
      <vt:lpstr>Tasks!Print_Titles</vt:lpstr>
      <vt:lpstr>Weeks!Print_Titles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Mikko Huttunen (TAU)</cp:lastModifiedBy>
  <cp:revision>0</cp:revision>
  <dcterms:created xsi:type="dcterms:W3CDTF">2026-09-25T08:17:56Z</dcterms:created>
  <dcterms:modified xsi:type="dcterms:W3CDTF">2026-10-19T09:23:35Z</dcterms:modified>
  <dc:language>en-US</dc:language>
</cp:coreProperties>
</file>